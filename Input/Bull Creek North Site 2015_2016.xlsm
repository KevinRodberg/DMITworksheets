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3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4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sfwmd.gov\dfsroot\data\wsd\SUP\devel\source\R\DMITworksheets\Input\"/>
    </mc:Choice>
  </mc:AlternateContent>
  <xr:revisionPtr revIDLastSave="0" documentId="13_ncr:1_{7B9B541F-F091-4771-8B18-8E885D86CFE5}" xr6:coauthVersionLast="45" xr6:coauthVersionMax="45" xr10:uidLastSave="{00000000-0000-0000-0000-000000000000}"/>
  <bookViews>
    <workbookView xWindow="29970" yWindow="1005" windowWidth="27105" windowHeight="15195" tabRatio="592" activeTab="1" xr2:uid="{92FAA6A8-8EA3-4FDC-BFF6-659A86129297}"/>
  </bookViews>
  <sheets>
    <sheet name="Hydrological" sheetId="1" r:id="rId1"/>
    <sheet name="Soil T1" sheetId="3" r:id="rId2"/>
    <sheet name="Soil T2" sheetId="25" r:id="rId3"/>
    <sheet name="Soil T3" sheetId="26" r:id="rId4"/>
    <sheet name="Vegetation T1" sheetId="10" r:id="rId5"/>
    <sheet name="Vegetation T2" sheetId="23" r:id="rId6"/>
    <sheet name="Vegetation T3" sheetId="24" r:id="rId7"/>
    <sheet name="List" sheetId="2" r:id="rId8"/>
    <sheet name="Instructions " sheetId="18" r:id="rId9"/>
  </sheets>
  <definedNames>
    <definedName name="AQ" localSheetId="4">List!#REF!</definedName>
    <definedName name="AQ" localSheetId="5">List!#REF!</definedName>
    <definedName name="AQ" localSheetId="6">List!#REF!</definedName>
    <definedName name="AQ">List!#REF!</definedName>
    <definedName name="DropDownList" localSheetId="4">#REF!:INDEX(#REF!,MAX(#REF!),1)</definedName>
    <definedName name="DropDownList" localSheetId="5">#REF!:INDEX(#REF!,MAX(#REF!),1)</definedName>
    <definedName name="DropDownList" localSheetId="6">#REF!:INDEX(#REF!,MAX(#REF!),1)</definedName>
    <definedName name="DropDownList">#REF!:INDEX(#REF!,MAX(#REF!),1)</definedName>
    <definedName name="FAC">List!$H$19</definedName>
    <definedName name="FACW">List!$H$4</definedName>
    <definedName name="list_2">OFFSET('Vegetation T1'!$AF$4,,,COUNTIF('Vegetation T1'!$AF$4:$AF$2800,"?*"))</definedName>
    <definedName name="OBL" localSheetId="4">List!#REF!</definedName>
    <definedName name="OBL" localSheetId="5">List!#REF!</definedName>
    <definedName name="OBL" localSheetId="6">List!#REF!</definedName>
    <definedName name="OBL">List!#REF!</definedName>
    <definedName name="UL">List!$H$18</definedName>
    <definedName name="UPL">List!$H$5</definedName>
    <definedName name="validation_list" localSheetId="4">OFFSET('Vegetation T1'!$AF$4,,,COUNTIF('Vegetation T1'!$AF$4:$AF$2800,"?*"))</definedName>
    <definedName name="validation_list" localSheetId="5">OFFSET('Vegetation T2'!$AF$4,,,COUNTIF('Vegetation T2'!$AF$4:$AF$2800,"?*"))</definedName>
    <definedName name="validation_list" localSheetId="6">OFFSET('Vegetation T3'!$AF$4,,,COUNTIF('Vegetation T3'!$AF$4:$AF$2800,"?*"))</definedName>
    <definedName name="validation_list">OFFSET(#REF!,,,COUNTIF(#REF!,"?*"))</definedName>
    <definedName name="validation_list2" localSheetId="5">OFFSET('Vegetation T2'!$AF$4,,,COUNTIF('Vegetation T2'!$AF$4:$AF$2800,"?*"))</definedName>
    <definedName name="validation_list2" localSheetId="6">OFFSET('Vegetation T3'!$AF$4,,,COUNTIF('Vegetation T3'!$AF$4:$AF$2800,"?*"))</definedName>
    <definedName name="validation_list2">OFFSET('Vegetation T1'!$AF$4,,,COUNTIF('Vegetation T1'!$AF$4:$AF$2800,"?*"))</definedName>
    <definedName name="Vegetation" localSheetId="4">OFFSET(#REF!,,,COUNTIF(#REF!,"*?")-1)</definedName>
    <definedName name="Vegetation" localSheetId="5">OFFSET(#REF!,,,COUNTIF(#REF!,"*?")-1)</definedName>
    <definedName name="Vegetation" localSheetId="6">OFFSET(#REF!,,,COUNTIF(#REF!,"*?")-1)</definedName>
    <definedName name="Vegetation">OFFSET(#REF!,,,COUNTIF(#REF!,"*?")-1)</definedName>
    <definedName name="Vegetation_List" localSheetId="4">OFFSET(List!#REF!,,,COUNTIF(List!$N:$N,"*?")-1)</definedName>
    <definedName name="Vegetation_List" localSheetId="5">OFFSET(List!#REF!,,,COUNTIF(List!$N:$N,"*?")-1)</definedName>
    <definedName name="Vegetation_List" localSheetId="6">OFFSET(List!#REF!,,,COUNTIF(List!$N:$N,"*?")-1)</definedName>
    <definedName name="Vegetation_List">OFFSET(List!#REF!,,,COUNTIF(List!$N:$N,"*?")-1)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5" l="1"/>
  <c r="E1" i="24" l="1"/>
  <c r="B1" i="24"/>
  <c r="E1" i="23"/>
  <c r="B1" i="23"/>
  <c r="E1" i="10"/>
  <c r="B1" i="10"/>
  <c r="E1" i="26"/>
  <c r="B1" i="26"/>
  <c r="E1" i="25"/>
  <c r="E1" i="3"/>
  <c r="S176" i="24" l="1"/>
  <c r="R176" i="24"/>
  <c r="Q176" i="24"/>
  <c r="P176" i="24"/>
  <c r="O176" i="24"/>
  <c r="N176" i="24"/>
  <c r="M176" i="24"/>
  <c r="L176" i="24"/>
  <c r="K176" i="24"/>
  <c r="J176" i="24"/>
  <c r="I176" i="24"/>
  <c r="H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S131" i="24" l="1"/>
  <c r="R131" i="24"/>
  <c r="Q131" i="24"/>
  <c r="P131" i="24"/>
  <c r="O131" i="24"/>
  <c r="N131" i="24"/>
  <c r="M131" i="24"/>
  <c r="L131" i="24"/>
  <c r="K131" i="24"/>
  <c r="J131" i="24"/>
  <c r="I131" i="24"/>
  <c r="H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S131" i="10" l="1"/>
  <c r="R131" i="10"/>
  <c r="Q131" i="10"/>
  <c r="P131" i="10"/>
  <c r="O131" i="10"/>
  <c r="N131" i="10"/>
  <c r="M131" i="10"/>
  <c r="L131" i="10"/>
  <c r="K131" i="10"/>
  <c r="J131" i="10"/>
  <c r="I131" i="10"/>
  <c r="H131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S41" i="10"/>
  <c r="K41" i="10"/>
  <c r="R41" i="10"/>
  <c r="Q41" i="10"/>
  <c r="P41" i="10"/>
  <c r="O41" i="10"/>
  <c r="N41" i="10"/>
  <c r="M41" i="10"/>
  <c r="L41" i="10"/>
  <c r="J41" i="10"/>
  <c r="I41" i="10"/>
  <c r="H4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AB2" i="23" l="1"/>
  <c r="AC4" i="23" s="1"/>
  <c r="AB2" i="24"/>
  <c r="AC4" i="24" s="1"/>
  <c r="AB2" i="10"/>
  <c r="AC4" i="10" s="1"/>
  <c r="AC5" i="23" l="1"/>
  <c r="AC5" i="10"/>
  <c r="AB6" i="10"/>
  <c r="AC7" i="10"/>
  <c r="AC7" i="23"/>
  <c r="AC8" i="23" s="1"/>
  <c r="AC5" i="24"/>
  <c r="AB6" i="23"/>
  <c r="AB6" i="24" l="1"/>
  <c r="AC8" i="10"/>
  <c r="AC9" i="23"/>
  <c r="AC7" i="24"/>
  <c r="AC9" i="10" l="1"/>
  <c r="AC10" i="23"/>
  <c r="AC8" i="24"/>
  <c r="AC11" i="10" l="1"/>
  <c r="AC12" i="10"/>
  <c r="AC9" i="24"/>
  <c r="AC12" i="23"/>
  <c r="AC13" i="10" l="1"/>
  <c r="AC10" i="24"/>
  <c r="AC13" i="23"/>
  <c r="AC14" i="10" l="1"/>
  <c r="AC14" i="23"/>
  <c r="AC12" i="24"/>
  <c r="AC15" i="10" l="1"/>
  <c r="AC16" i="10" s="1"/>
  <c r="AC13" i="24"/>
  <c r="AC15" i="23"/>
  <c r="AC17" i="10" l="1"/>
  <c r="AC18" i="10"/>
  <c r="AC16" i="23"/>
  <c r="AC14" i="24"/>
  <c r="AC19" i="10" l="1"/>
  <c r="AC20" i="10" s="1"/>
  <c r="AC21" i="10"/>
  <c r="AC15" i="24"/>
  <c r="AC17" i="23"/>
  <c r="AC16" i="24" l="1"/>
  <c r="AC18" i="23"/>
  <c r="AC23" i="10"/>
  <c r="AC19" i="23" l="1"/>
  <c r="AC24" i="10"/>
  <c r="AC17" i="24"/>
  <c r="AC18" i="24" s="1"/>
  <c r="AC19" i="24" s="1"/>
  <c r="AC20" i="24" s="1"/>
  <c r="AC21" i="24" s="1"/>
  <c r="AC23" i="24" s="1"/>
  <c r="AC24" i="24" s="1"/>
  <c r="AC25" i="24" s="1"/>
  <c r="AC26" i="24" s="1"/>
  <c r="AC27" i="24" s="1"/>
  <c r="AC28" i="24" s="1"/>
  <c r="AC29" i="24" s="1"/>
  <c r="AC30" i="24" s="1"/>
  <c r="AC31" i="24" s="1"/>
  <c r="AC32" i="24" s="1"/>
  <c r="AC33" i="24" s="1"/>
  <c r="AC34" i="24" s="1"/>
  <c r="AC35" i="24" s="1"/>
  <c r="AC36" i="24" s="1"/>
  <c r="AC37" i="24" s="1"/>
  <c r="AC38" i="24" s="1"/>
  <c r="AC39" i="24" s="1"/>
  <c r="AC40" i="24" s="1"/>
  <c r="AC42" i="24" s="1"/>
  <c r="AC43" i="24" s="1"/>
  <c r="AC44" i="24" s="1"/>
  <c r="AC45" i="24" s="1"/>
  <c r="AC46" i="24" s="1"/>
  <c r="AC47" i="24" s="1"/>
  <c r="AC49" i="24" s="1"/>
  <c r="AC50" i="24" s="1"/>
  <c r="AC51" i="24" s="1"/>
  <c r="AC52" i="24" l="1"/>
  <c r="AC53" i="24" s="1"/>
  <c r="AC54" i="24" s="1"/>
  <c r="AC55" i="24" s="1"/>
  <c r="AC57" i="24" s="1"/>
  <c r="AC58" i="24" s="1"/>
  <c r="AC59" i="24" s="1"/>
  <c r="AC60" i="24" s="1"/>
  <c r="AC61" i="24" s="1"/>
  <c r="AC62" i="24" s="1"/>
  <c r="AC63" i="24" s="1"/>
  <c r="AC64" i="24" s="1"/>
  <c r="AC65" i="24" s="1"/>
  <c r="AC66" i="24" s="1"/>
  <c r="AC67" i="24" s="1"/>
  <c r="AC68" i="24" s="1"/>
  <c r="AC69" i="24" s="1"/>
  <c r="AC70" i="24" s="1"/>
  <c r="AC71" i="24" s="1"/>
  <c r="AC72" i="24" s="1"/>
  <c r="AC73" i="24" s="1"/>
  <c r="AC74" i="24" s="1"/>
  <c r="AC75" i="24" s="1"/>
  <c r="AC76" i="24" s="1"/>
  <c r="AC77" i="24" s="1"/>
  <c r="AC78" i="24" s="1"/>
  <c r="AC79" i="24" s="1"/>
  <c r="AC80" i="24" s="1"/>
  <c r="AC81" i="24" s="1"/>
  <c r="AC25" i="10"/>
  <c r="AC20" i="23"/>
  <c r="AC26" i="10" l="1"/>
  <c r="AC21" i="23"/>
  <c r="AC82" i="24"/>
  <c r="AC83" i="24" s="1"/>
  <c r="AC84" i="24" s="1"/>
  <c r="AC85" i="24" s="1"/>
  <c r="AC87" i="24" s="1"/>
  <c r="AC88" i="24" s="1"/>
  <c r="AC89" i="24" s="1"/>
  <c r="AC90" i="24" s="1"/>
  <c r="AC91" i="24" s="1"/>
  <c r="AC92" i="24" s="1"/>
  <c r="AC94" i="24" s="1"/>
  <c r="AC95" i="24" s="1"/>
  <c r="AC96" i="24" s="1"/>
  <c r="AC97" i="24" s="1"/>
  <c r="AC98" i="24" s="1"/>
  <c r="AC99" i="24" s="1"/>
  <c r="AC100" i="24" s="1"/>
  <c r="AC102" i="24" s="1"/>
  <c r="AC103" i="24" s="1"/>
  <c r="AC104" i="24" s="1"/>
  <c r="AC27" i="10" l="1"/>
  <c r="AC105" i="24"/>
  <c r="AC23" i="23"/>
  <c r="AC24" i="23" l="1"/>
  <c r="AC28" i="10"/>
  <c r="AC106" i="24"/>
  <c r="AC107" i="24" l="1"/>
  <c r="AC25" i="23"/>
  <c r="AC29" i="10"/>
  <c r="AC26" i="23" l="1"/>
  <c r="AC30" i="10"/>
  <c r="AC108" i="24"/>
  <c r="AC27" i="23" l="1"/>
  <c r="AC109" i="24"/>
  <c r="AC31" i="10"/>
  <c r="AC32" i="10" l="1"/>
  <c r="AC110" i="24"/>
  <c r="AC28" i="23"/>
  <c r="AC33" i="10" l="1"/>
  <c r="AC34" i="10" s="1"/>
  <c r="AC35" i="10" s="1"/>
  <c r="AC36" i="10" s="1"/>
  <c r="AC37" i="10" s="1"/>
  <c r="AC38" i="10" s="1"/>
  <c r="AC39" i="10" s="1"/>
  <c r="AC40" i="10" s="1"/>
  <c r="AC42" i="10" s="1"/>
  <c r="AC43" i="10" s="1"/>
  <c r="AC44" i="10" s="1"/>
  <c r="AC45" i="10" s="1"/>
  <c r="AC46" i="10" s="1"/>
  <c r="AC47" i="10" s="1"/>
  <c r="AC49" i="10" s="1"/>
  <c r="AC29" i="23"/>
  <c r="AC30" i="23" s="1"/>
  <c r="AC31" i="23" s="1"/>
  <c r="AC32" i="23" s="1"/>
  <c r="AC33" i="23" s="1"/>
  <c r="AC34" i="23" s="1"/>
  <c r="AC35" i="23" s="1"/>
  <c r="AC36" i="23" s="1"/>
  <c r="AC37" i="23" s="1"/>
  <c r="AC38" i="23" s="1"/>
  <c r="AC39" i="23" s="1"/>
  <c r="AC40" i="23" s="1"/>
  <c r="AC42" i="23" s="1"/>
  <c r="AC43" i="23" s="1"/>
  <c r="AC44" i="23" s="1"/>
  <c r="AC45" i="23" s="1"/>
  <c r="AC46" i="23" s="1"/>
  <c r="AC47" i="23" s="1"/>
  <c r="AC49" i="23" s="1"/>
  <c r="AC50" i="23" s="1"/>
  <c r="AC51" i="23" s="1"/>
  <c r="AC52" i="23" s="1"/>
  <c r="AC53" i="23" s="1"/>
  <c r="AC54" i="23" s="1"/>
  <c r="AC55" i="23" s="1"/>
  <c r="AC57" i="23" s="1"/>
  <c r="AC58" i="23" s="1"/>
  <c r="AC59" i="23" s="1"/>
  <c r="AC60" i="23" s="1"/>
  <c r="AC61" i="23" s="1"/>
  <c r="AC62" i="23" s="1"/>
  <c r="AC63" i="23" s="1"/>
  <c r="AC64" i="23" s="1"/>
  <c r="AC65" i="23" s="1"/>
  <c r="AC66" i="23" s="1"/>
  <c r="AC67" i="23" s="1"/>
  <c r="AC68" i="23" s="1"/>
  <c r="AC69" i="23" s="1"/>
  <c r="AC70" i="23" s="1"/>
  <c r="AC71" i="23" s="1"/>
  <c r="AC72" i="23" s="1"/>
  <c r="AC73" i="23" s="1"/>
  <c r="AC74" i="23" s="1"/>
  <c r="AC75" i="23" s="1"/>
  <c r="AC76" i="23" s="1"/>
  <c r="AC77" i="23" s="1"/>
  <c r="AC78" i="23" s="1"/>
  <c r="AC79" i="23" s="1"/>
  <c r="AC80" i="23" s="1"/>
  <c r="AC81" i="23" s="1"/>
  <c r="AC82" i="23" s="1"/>
  <c r="AC83" i="23" s="1"/>
  <c r="AC84" i="23" s="1"/>
  <c r="AC85" i="23" s="1"/>
  <c r="AC87" i="23" s="1"/>
  <c r="AC88" i="23" s="1"/>
  <c r="AC89" i="23" s="1"/>
  <c r="AC90" i="23" s="1"/>
  <c r="AC91" i="23" s="1"/>
  <c r="AC92" i="23" s="1"/>
  <c r="AC94" i="23" s="1"/>
  <c r="AC95" i="23" s="1"/>
  <c r="AC96" i="23" s="1"/>
  <c r="AC97" i="23" s="1"/>
  <c r="AC98" i="23" s="1"/>
  <c r="AC99" i="23" s="1"/>
  <c r="AC100" i="23" s="1"/>
  <c r="AC102" i="23" s="1"/>
  <c r="AC103" i="23" s="1"/>
  <c r="AC104" i="23" s="1"/>
  <c r="AC105" i="23" s="1"/>
  <c r="AC106" i="23" s="1"/>
  <c r="AC107" i="23" s="1"/>
  <c r="AC108" i="23" s="1"/>
  <c r="AC109" i="23" s="1"/>
  <c r="AC110" i="23" s="1"/>
  <c r="AC111" i="23" s="1"/>
  <c r="AC112" i="23" s="1"/>
  <c r="AC113" i="23" s="1"/>
  <c r="AC114" i="23" s="1"/>
  <c r="AC115" i="23" s="1"/>
  <c r="AC116" i="23" s="1"/>
  <c r="AC117" i="23" s="1"/>
  <c r="AC118" i="23" s="1"/>
  <c r="AC119" i="23" s="1"/>
  <c r="AC120" i="23" s="1"/>
  <c r="AC121" i="23" s="1"/>
  <c r="AC122" i="23" s="1"/>
  <c r="AC123" i="23" s="1"/>
  <c r="AC124" i="23" s="1"/>
  <c r="AC125" i="23" s="1"/>
  <c r="AC126" i="23" s="1"/>
  <c r="AC127" i="23" s="1"/>
  <c r="AC128" i="23" s="1"/>
  <c r="AC129" i="23" s="1"/>
  <c r="AC130" i="23" s="1"/>
  <c r="AC132" i="23" s="1"/>
  <c r="AC133" i="23" s="1"/>
  <c r="AC134" i="23" s="1"/>
  <c r="AC135" i="23" s="1"/>
  <c r="AC136" i="23" s="1"/>
  <c r="AC137" i="23" s="1"/>
  <c r="AC138" i="23" s="1"/>
  <c r="AC139" i="23" s="1"/>
  <c r="AC140" i="23" s="1"/>
  <c r="AC141" i="23" s="1"/>
  <c r="AC142" i="23" s="1"/>
  <c r="AC143" i="23" s="1"/>
  <c r="AC144" i="23" s="1"/>
  <c r="AC145" i="23" s="1"/>
  <c r="AC146" i="23" s="1"/>
  <c r="AC147" i="23" s="1"/>
  <c r="AC148" i="23" s="1"/>
  <c r="AC149" i="23" s="1"/>
  <c r="AC150" i="23" s="1"/>
  <c r="AC151" i="23" s="1"/>
  <c r="AC152" i="23" s="1"/>
  <c r="AC153" i="23" s="1"/>
  <c r="AC154" i="23" s="1"/>
  <c r="AC155" i="23" s="1"/>
  <c r="AC156" i="23" s="1"/>
  <c r="AC157" i="23" s="1"/>
  <c r="AC158" i="23" s="1"/>
  <c r="AC159" i="23" s="1"/>
  <c r="AC160" i="23" s="1"/>
  <c r="AC161" i="23" s="1"/>
  <c r="AC162" i="23" s="1"/>
  <c r="AC163" i="23" s="1"/>
  <c r="AC164" i="23" s="1"/>
  <c r="AC165" i="23" s="1"/>
  <c r="AC166" i="23" s="1"/>
  <c r="AC167" i="23" s="1"/>
  <c r="AC168" i="23" s="1"/>
  <c r="AC169" i="23" s="1"/>
  <c r="AC170" i="23" s="1"/>
  <c r="AC171" i="23" s="1"/>
  <c r="AC172" i="23" s="1"/>
  <c r="AC173" i="23" s="1"/>
  <c r="AC174" i="23" s="1"/>
  <c r="AC175" i="23" s="1"/>
  <c r="AC176" i="23" s="1"/>
  <c r="AC177" i="23" s="1"/>
  <c r="AC178" i="23" s="1"/>
  <c r="AC179" i="23" s="1"/>
  <c r="AC180" i="23" s="1"/>
  <c r="AC181" i="23" s="1"/>
  <c r="AC182" i="23" s="1"/>
  <c r="AC183" i="23" s="1"/>
  <c r="AC184" i="23" s="1"/>
  <c r="AC185" i="23" s="1"/>
  <c r="AC186" i="23" s="1"/>
  <c r="AC187" i="23" s="1"/>
  <c r="AC188" i="23" s="1"/>
  <c r="AC189" i="23" s="1"/>
  <c r="AC190" i="23" s="1"/>
  <c r="AC191" i="23" s="1"/>
  <c r="AC192" i="23" s="1"/>
  <c r="AC193" i="23" s="1"/>
  <c r="AC194" i="23" s="1"/>
  <c r="AC195" i="23" s="1"/>
  <c r="AC196" i="23" s="1"/>
  <c r="AC197" i="23" s="1"/>
  <c r="AC198" i="23" s="1"/>
  <c r="AC199" i="23" s="1"/>
  <c r="AC200" i="23" s="1"/>
  <c r="AC201" i="23" s="1"/>
  <c r="AC202" i="23" s="1"/>
  <c r="AC203" i="23" s="1"/>
  <c r="AC204" i="23" s="1"/>
  <c r="AC205" i="23" s="1"/>
  <c r="AC206" i="23" s="1"/>
  <c r="AC207" i="23" s="1"/>
  <c r="AC208" i="23" s="1"/>
  <c r="AC209" i="23" s="1"/>
  <c r="AC210" i="23" s="1"/>
  <c r="AC211" i="23" s="1"/>
  <c r="AC212" i="23" s="1"/>
  <c r="AC213" i="23" s="1"/>
  <c r="AC214" i="23" s="1"/>
  <c r="AC215" i="23" s="1"/>
  <c r="AC216" i="23" s="1"/>
  <c r="AC217" i="23" s="1"/>
  <c r="AC218" i="23" s="1"/>
  <c r="AC219" i="23" s="1"/>
  <c r="AC220" i="23" s="1"/>
  <c r="AC221" i="23" s="1"/>
  <c r="AC222" i="23" s="1"/>
  <c r="AC223" i="23" s="1"/>
  <c r="AC224" i="23" s="1"/>
  <c r="AC225" i="23" s="1"/>
  <c r="AC226" i="23" s="1"/>
  <c r="AC227" i="23" s="1"/>
  <c r="AC228" i="23" s="1"/>
  <c r="AC229" i="23" s="1"/>
  <c r="AC230" i="23" s="1"/>
  <c r="AC231" i="23" s="1"/>
  <c r="AC232" i="23" s="1"/>
  <c r="AC111" i="24"/>
  <c r="AC233" i="23" l="1"/>
  <c r="AC234" i="23" s="1"/>
  <c r="AC235" i="23" s="1"/>
  <c r="AC236" i="23" s="1"/>
  <c r="AC237" i="23" s="1"/>
  <c r="AC238" i="23" s="1"/>
  <c r="AC239" i="23" s="1"/>
  <c r="AC240" i="23" s="1"/>
  <c r="AC241" i="23" s="1"/>
  <c r="AC242" i="23" s="1"/>
  <c r="AC243" i="23" s="1"/>
  <c r="AC244" i="23" s="1"/>
  <c r="AC245" i="23" s="1"/>
  <c r="AC246" i="23" s="1"/>
  <c r="AC247" i="23" s="1"/>
  <c r="AC248" i="23" s="1"/>
  <c r="AC112" i="24"/>
  <c r="AC249" i="23" l="1"/>
  <c r="AC250" i="23" s="1"/>
  <c r="AC251" i="23" s="1"/>
  <c r="AC252" i="23" s="1"/>
  <c r="AC253" i="23" s="1"/>
  <c r="AC254" i="23" s="1"/>
  <c r="AC255" i="23" s="1"/>
  <c r="AC256" i="23" s="1"/>
  <c r="AC257" i="23" s="1"/>
  <c r="AC258" i="23" s="1"/>
  <c r="AC259" i="23" s="1"/>
  <c r="AC260" i="23" s="1"/>
  <c r="AC261" i="23" s="1"/>
  <c r="AC262" i="23" s="1"/>
  <c r="AC263" i="23" s="1"/>
  <c r="AC264" i="23" s="1"/>
  <c r="AC265" i="23" s="1"/>
  <c r="AC266" i="23" s="1"/>
  <c r="AC267" i="23" s="1"/>
  <c r="AC268" i="23" s="1"/>
  <c r="AC269" i="23" s="1"/>
  <c r="AC270" i="23" s="1"/>
  <c r="AC271" i="23" s="1"/>
  <c r="AC272" i="23" s="1"/>
  <c r="AC273" i="23" s="1"/>
  <c r="AC274" i="23" s="1"/>
  <c r="AC275" i="23" s="1"/>
  <c r="AC276" i="23" s="1"/>
  <c r="AC277" i="23" s="1"/>
  <c r="AC278" i="23" s="1"/>
  <c r="AC279" i="23" s="1"/>
  <c r="AC280" i="23" s="1"/>
  <c r="AC281" i="23" s="1"/>
  <c r="AC282" i="23" s="1"/>
  <c r="AC283" i="23" s="1"/>
  <c r="AC284" i="23" s="1"/>
  <c r="AC285" i="23" s="1"/>
  <c r="AC286" i="23" s="1"/>
  <c r="AC287" i="23" s="1"/>
  <c r="AC113" i="24"/>
  <c r="AC288" i="23" l="1"/>
  <c r="AC289" i="23" s="1"/>
  <c r="AC290" i="23" s="1"/>
  <c r="AC114" i="24"/>
  <c r="AC115" i="24" l="1"/>
  <c r="AC291" i="23"/>
  <c r="AC116" i="24" l="1"/>
  <c r="AC292" i="23"/>
  <c r="AC117" i="24" l="1"/>
  <c r="AC293" i="23"/>
  <c r="AC294" i="23" l="1"/>
  <c r="AC118" i="24"/>
  <c r="AC119" i="24" l="1"/>
  <c r="AC295" i="23"/>
  <c r="AC296" i="23" l="1"/>
  <c r="AC120" i="24"/>
  <c r="AC121" i="24" l="1"/>
  <c r="AC297" i="23"/>
  <c r="AC298" i="23" l="1"/>
  <c r="AC122" i="24"/>
  <c r="AC123" i="24" l="1"/>
  <c r="AC299" i="23"/>
  <c r="AC300" i="23" l="1"/>
  <c r="AC124" i="24"/>
  <c r="AC125" i="24" l="1"/>
  <c r="AC301" i="23"/>
  <c r="AC302" i="23" l="1"/>
  <c r="AC126" i="24"/>
  <c r="AC127" i="24" l="1"/>
  <c r="AC303" i="23"/>
  <c r="AC304" i="23" l="1"/>
  <c r="AC128" i="24"/>
  <c r="AC129" i="24" l="1"/>
  <c r="AC305" i="23"/>
  <c r="AC306" i="23" l="1"/>
  <c r="AC307" i="23" s="1"/>
  <c r="AC308" i="23" s="1"/>
  <c r="AC309" i="23" s="1"/>
  <c r="AC310" i="23" s="1"/>
  <c r="AC311" i="23" s="1"/>
  <c r="AC312" i="23" s="1"/>
  <c r="AC313" i="23" s="1"/>
  <c r="AC130" i="24"/>
  <c r="AC132" i="24" l="1"/>
  <c r="AC314" i="23"/>
  <c r="AC315" i="23" s="1"/>
  <c r="AC316" i="23" s="1"/>
  <c r="AC317" i="23" s="1"/>
  <c r="AC318" i="23" s="1"/>
  <c r="AC319" i="23" s="1"/>
  <c r="AC320" i="23" s="1"/>
  <c r="AC321" i="23" s="1"/>
  <c r="AC322" i="23" s="1"/>
  <c r="AC323" i="23" s="1"/>
  <c r="AC324" i="23" s="1"/>
  <c r="AC325" i="23" s="1"/>
  <c r="AC326" i="23" l="1"/>
  <c r="AC327" i="23" s="1"/>
  <c r="AC328" i="23" s="1"/>
  <c r="AC329" i="23" s="1"/>
  <c r="AC330" i="23" s="1"/>
  <c r="AC331" i="23" s="1"/>
  <c r="AC332" i="23" s="1"/>
  <c r="AC333" i="23" s="1"/>
  <c r="AC334" i="23" s="1"/>
  <c r="AC335" i="23" s="1"/>
  <c r="AC336" i="23" s="1"/>
  <c r="AC337" i="23" s="1"/>
  <c r="AC338" i="23" s="1"/>
  <c r="AC339" i="23" s="1"/>
  <c r="AC340" i="23" s="1"/>
  <c r="AC341" i="23" s="1"/>
  <c r="AC342" i="23" s="1"/>
  <c r="AC343" i="23" s="1"/>
  <c r="AC344" i="23" s="1"/>
  <c r="AC345" i="23" s="1"/>
  <c r="AC346" i="23" s="1"/>
  <c r="AC347" i="23" s="1"/>
  <c r="AC348" i="23" s="1"/>
  <c r="AC349" i="23" s="1"/>
  <c r="AC350" i="23" s="1"/>
  <c r="AC351" i="23" s="1"/>
  <c r="AC352" i="23" s="1"/>
  <c r="AC353" i="23" s="1"/>
  <c r="AC354" i="23" s="1"/>
  <c r="AC355" i="23" s="1"/>
  <c r="AC356" i="23" s="1"/>
  <c r="AC357" i="23" s="1"/>
  <c r="AC358" i="23" s="1"/>
  <c r="AC359" i="23" s="1"/>
  <c r="AC360" i="23" s="1"/>
  <c r="AC361" i="23" s="1"/>
  <c r="AC362" i="23" s="1"/>
  <c r="AC363" i="23" s="1"/>
  <c r="AC364" i="23" s="1"/>
  <c r="AC365" i="23" s="1"/>
  <c r="AC366" i="23" s="1"/>
  <c r="AC367" i="23" s="1"/>
  <c r="AC368" i="23" s="1"/>
  <c r="AC369" i="23" s="1"/>
  <c r="AC370" i="23" s="1"/>
  <c r="AC371" i="23" s="1"/>
  <c r="AC372" i="23" s="1"/>
  <c r="AC373" i="23" s="1"/>
  <c r="AC374" i="23" s="1"/>
  <c r="AC375" i="23" s="1"/>
  <c r="AC376" i="23" s="1"/>
  <c r="AC377" i="23" s="1"/>
  <c r="AC378" i="23" s="1"/>
  <c r="AC379" i="23" s="1"/>
  <c r="AC380" i="23" s="1"/>
  <c r="AC381" i="23" s="1"/>
  <c r="AC382" i="23" s="1"/>
  <c r="AC383" i="23" s="1"/>
  <c r="AC384" i="23" s="1"/>
  <c r="AC385" i="23" s="1"/>
  <c r="AC386" i="23" s="1"/>
  <c r="AC387" i="23" s="1"/>
  <c r="AC388" i="23" s="1"/>
  <c r="AC389" i="23" s="1"/>
  <c r="AC390" i="23" s="1"/>
  <c r="AC391" i="23" s="1"/>
  <c r="AC392" i="23" s="1"/>
  <c r="AC393" i="23" s="1"/>
  <c r="AC394" i="23" s="1"/>
  <c r="AC395" i="23" s="1"/>
  <c r="AC396" i="23" s="1"/>
  <c r="AC397" i="23" s="1"/>
  <c r="AC398" i="23" s="1"/>
  <c r="AC399" i="23" s="1"/>
  <c r="AC400" i="23" s="1"/>
  <c r="AC401" i="23" s="1"/>
  <c r="AC402" i="23" s="1"/>
  <c r="AC403" i="23" s="1"/>
  <c r="AC404" i="23" s="1"/>
  <c r="AC405" i="23" s="1"/>
  <c r="AC406" i="23" s="1"/>
  <c r="AC407" i="23" s="1"/>
  <c r="AC408" i="23" s="1"/>
  <c r="AC409" i="23" s="1"/>
  <c r="AC410" i="23" s="1"/>
  <c r="AC411" i="23" s="1"/>
  <c r="AC412" i="23" s="1"/>
  <c r="AC413" i="23" s="1"/>
  <c r="AC414" i="23" s="1"/>
  <c r="AC415" i="23" s="1"/>
  <c r="AC416" i="23" s="1"/>
  <c r="AC417" i="23" s="1"/>
  <c r="AC418" i="23" s="1"/>
  <c r="AC419" i="23" s="1"/>
  <c r="AC420" i="23" s="1"/>
  <c r="AC421" i="23" s="1"/>
  <c r="AC133" i="24"/>
  <c r="AC134" i="24" l="1"/>
  <c r="AC422" i="23"/>
  <c r="AC423" i="23" s="1"/>
  <c r="AC424" i="23" s="1"/>
  <c r="AC425" i="23" s="1"/>
  <c r="AC426" i="23" s="1"/>
  <c r="AC427" i="23" s="1"/>
  <c r="AC428" i="23" s="1"/>
  <c r="AC429" i="23" s="1"/>
  <c r="AC430" i="23" s="1"/>
  <c r="AC431" i="23" s="1"/>
  <c r="AC432" i="23" s="1"/>
  <c r="AC433" i="23" s="1"/>
  <c r="AC434" i="23" s="1"/>
  <c r="AC435" i="23" s="1"/>
  <c r="AC436" i="23" s="1"/>
  <c r="AC437" i="23" s="1"/>
  <c r="AC438" i="23" s="1"/>
  <c r="AC439" i="23" l="1"/>
  <c r="AC440" i="23" s="1"/>
  <c r="AC441" i="23" s="1"/>
  <c r="AC442" i="23" s="1"/>
  <c r="AC443" i="23" s="1"/>
  <c r="AC444" i="23" s="1"/>
  <c r="AC445" i="23" s="1"/>
  <c r="AC135" i="24"/>
  <c r="AC446" i="23" l="1"/>
  <c r="AC447" i="23" s="1"/>
  <c r="AC136" i="24"/>
  <c r="AC448" i="23" l="1"/>
  <c r="AC449" i="23" s="1"/>
  <c r="AC450" i="23" s="1"/>
  <c r="AC451" i="23" s="1"/>
  <c r="AC452" i="23" s="1"/>
  <c r="AC453" i="23" s="1"/>
  <c r="AC454" i="23" s="1"/>
  <c r="AC455" i="23" s="1"/>
  <c r="AC456" i="23" s="1"/>
  <c r="AC457" i="23" s="1"/>
  <c r="AC458" i="23" s="1"/>
  <c r="AC459" i="23" s="1"/>
  <c r="AC460" i="23" s="1"/>
  <c r="AC461" i="23" s="1"/>
  <c r="AC462" i="23" s="1"/>
  <c r="AC137" i="24"/>
  <c r="AC138" i="24" l="1"/>
  <c r="AC463" i="23"/>
  <c r="AC464" i="23" s="1"/>
  <c r="AC465" i="23" s="1"/>
  <c r="AC466" i="23" s="1"/>
  <c r="AC467" i="23" s="1"/>
  <c r="AC468" i="23" l="1"/>
  <c r="AC139" i="24"/>
  <c r="AC140" i="24" l="1"/>
  <c r="AC469" i="23"/>
  <c r="AC470" i="23" l="1"/>
  <c r="AC141" i="24"/>
  <c r="AC142" i="24" l="1"/>
  <c r="AC471" i="23"/>
  <c r="AC472" i="23" l="1"/>
  <c r="AC143" i="24"/>
  <c r="AC144" i="24" l="1"/>
  <c r="AC473" i="23"/>
  <c r="AC474" i="23" l="1"/>
  <c r="AC145" i="24"/>
  <c r="AC146" i="24" l="1"/>
  <c r="AC475" i="23"/>
  <c r="AC476" i="23" l="1"/>
  <c r="AC147" i="24"/>
  <c r="AC477" i="23" l="1"/>
  <c r="AC148" i="24"/>
  <c r="AC149" i="24" l="1"/>
  <c r="AC478" i="23"/>
  <c r="AC479" i="23" l="1"/>
  <c r="AC150" i="24"/>
  <c r="AC151" i="24" l="1"/>
  <c r="AC480" i="23"/>
  <c r="AC481" i="23" l="1"/>
  <c r="AC152" i="24"/>
  <c r="AC153" i="24" l="1"/>
  <c r="AC482" i="23"/>
  <c r="AC483" i="23" l="1"/>
  <c r="AC154" i="24"/>
  <c r="AC484" i="23" l="1"/>
  <c r="AC485" i="23" s="1"/>
  <c r="AC486" i="23" s="1"/>
  <c r="AC487" i="23" s="1"/>
  <c r="AC488" i="23" s="1"/>
  <c r="AC489" i="23" s="1"/>
  <c r="AC490" i="23" s="1"/>
  <c r="AC491" i="23" s="1"/>
  <c r="AC492" i="23" s="1"/>
  <c r="AC493" i="23" s="1"/>
  <c r="AC494" i="23" s="1"/>
  <c r="AC495" i="23" s="1"/>
  <c r="AC496" i="23" s="1"/>
  <c r="AC497" i="23" s="1"/>
  <c r="AC498" i="23" s="1"/>
  <c r="AC499" i="23" s="1"/>
  <c r="AC500" i="23" s="1"/>
  <c r="AC501" i="23" s="1"/>
  <c r="AC502" i="23" s="1"/>
  <c r="AC503" i="23" s="1"/>
  <c r="AC504" i="23" s="1"/>
  <c r="AC505" i="23" s="1"/>
  <c r="AC506" i="23" s="1"/>
  <c r="AC507" i="23" s="1"/>
  <c r="AC508" i="23" s="1"/>
  <c r="AC509" i="23" s="1"/>
  <c r="AC510" i="23" s="1"/>
  <c r="AC511" i="23" s="1"/>
  <c r="AC512" i="23" s="1"/>
  <c r="AC513" i="23" s="1"/>
  <c r="AC514" i="23" s="1"/>
  <c r="AC515" i="23" s="1"/>
  <c r="AC516" i="23" s="1"/>
  <c r="AC517" i="23" s="1"/>
  <c r="AC518" i="23" s="1"/>
  <c r="AC519" i="23" s="1"/>
  <c r="AC520" i="23" s="1"/>
  <c r="AC521" i="23" s="1"/>
  <c r="AC522" i="23" s="1"/>
  <c r="AC523" i="23" s="1"/>
  <c r="AC524" i="23" s="1"/>
  <c r="AC525" i="23" s="1"/>
  <c r="AC526" i="23" s="1"/>
  <c r="AC527" i="23" s="1"/>
  <c r="AC528" i="23" s="1"/>
  <c r="AC529" i="23" s="1"/>
  <c r="AC530" i="23" s="1"/>
  <c r="AC531" i="23" s="1"/>
  <c r="AC532" i="23" s="1"/>
  <c r="AC155" i="24"/>
  <c r="AC533" i="23" l="1"/>
  <c r="AC156" i="24"/>
  <c r="AC534" i="23" l="1"/>
  <c r="AC535" i="23"/>
  <c r="AC536" i="23" s="1"/>
  <c r="AC157" i="24"/>
  <c r="AC538" i="23" l="1"/>
  <c r="AC537" i="23"/>
  <c r="AC539" i="23" s="1"/>
  <c r="AC158" i="24"/>
  <c r="AC540" i="23" l="1"/>
  <c r="AC541" i="23" s="1"/>
  <c r="AC542" i="23" s="1"/>
  <c r="AC543" i="23" s="1"/>
  <c r="AC544" i="23" s="1"/>
  <c r="AC545" i="23" s="1"/>
  <c r="AC546" i="23" s="1"/>
  <c r="AC547" i="23" s="1"/>
  <c r="AC159" i="24"/>
  <c r="AC548" i="23" l="1"/>
  <c r="AC549" i="23" s="1"/>
  <c r="AC550" i="23" s="1"/>
  <c r="AC551" i="23" s="1"/>
  <c r="AC160" i="24"/>
  <c r="AC552" i="23" l="1"/>
  <c r="AC553" i="23" s="1"/>
  <c r="AC161" i="24"/>
  <c r="AC554" i="23" l="1"/>
  <c r="AC555" i="23" s="1"/>
  <c r="AC556" i="23" s="1"/>
  <c r="AC557" i="23" s="1"/>
  <c r="AC558" i="23" s="1"/>
  <c r="AC559" i="23" s="1"/>
  <c r="AC560" i="23" s="1"/>
  <c r="AC561" i="23" s="1"/>
  <c r="AC162" i="24"/>
  <c r="AC562" i="23" l="1"/>
  <c r="AC563" i="23" s="1"/>
  <c r="AC564" i="23" s="1"/>
  <c r="AC565" i="23" s="1"/>
  <c r="AC566" i="23" s="1"/>
  <c r="AC567" i="23" s="1"/>
  <c r="AC568" i="23" s="1"/>
  <c r="AC569" i="23" s="1"/>
  <c r="AC570" i="23" s="1"/>
  <c r="AC571" i="23" s="1"/>
  <c r="AC572" i="23" s="1"/>
  <c r="AC573" i="23" s="1"/>
  <c r="AC574" i="23" s="1"/>
  <c r="AC575" i="23" s="1"/>
  <c r="AC576" i="23" s="1"/>
  <c r="AC577" i="23" s="1"/>
  <c r="AC578" i="23" s="1"/>
  <c r="AC579" i="23" s="1"/>
  <c r="AC580" i="23" s="1"/>
  <c r="AC581" i="23" s="1"/>
  <c r="AC582" i="23" s="1"/>
  <c r="AC583" i="23" s="1"/>
  <c r="AC584" i="23" s="1"/>
  <c r="AC585" i="23" s="1"/>
  <c r="AC586" i="23" s="1"/>
  <c r="AC587" i="23" s="1"/>
  <c r="AC588" i="23" s="1"/>
  <c r="AC589" i="23" s="1"/>
  <c r="AC590" i="23" s="1"/>
  <c r="AC591" i="23" s="1"/>
  <c r="AC592" i="23" s="1"/>
  <c r="AC593" i="23" s="1"/>
  <c r="AC594" i="23" s="1"/>
  <c r="AC595" i="23" s="1"/>
  <c r="AC596" i="23" s="1"/>
  <c r="AC597" i="23" s="1"/>
  <c r="AC598" i="23" s="1"/>
  <c r="AC599" i="23" s="1"/>
  <c r="AC600" i="23" s="1"/>
  <c r="AC601" i="23" s="1"/>
  <c r="AC602" i="23" s="1"/>
  <c r="AC603" i="23" s="1"/>
  <c r="AC604" i="23" s="1"/>
  <c r="AC163" i="24"/>
  <c r="AC605" i="23" l="1"/>
  <c r="AC606" i="23" s="1"/>
  <c r="AC164" i="24"/>
  <c r="AC607" i="23" l="1"/>
  <c r="AC608" i="23" s="1"/>
  <c r="AC609" i="23" s="1"/>
  <c r="AC610" i="23" s="1"/>
  <c r="AC611" i="23" s="1"/>
  <c r="AC612" i="23" s="1"/>
  <c r="AC613" i="23" s="1"/>
  <c r="AC614" i="23" s="1"/>
  <c r="AC615" i="23" s="1"/>
  <c r="AC616" i="23" s="1"/>
  <c r="AC617" i="23" s="1"/>
  <c r="AC618" i="23" s="1"/>
  <c r="AC619" i="23" s="1"/>
  <c r="AC620" i="23" s="1"/>
  <c r="AC621" i="23" s="1"/>
  <c r="AC622" i="23" s="1"/>
  <c r="AC623" i="23" s="1"/>
  <c r="AC624" i="23" s="1"/>
  <c r="AC625" i="23" s="1"/>
  <c r="AC626" i="23" s="1"/>
  <c r="AC627" i="23" s="1"/>
  <c r="AC628" i="23" s="1"/>
  <c r="AC629" i="23" s="1"/>
  <c r="AC630" i="23" s="1"/>
  <c r="AC631" i="23" s="1"/>
  <c r="AC632" i="23" s="1"/>
  <c r="AC633" i="23" s="1"/>
  <c r="AC634" i="23" s="1"/>
  <c r="AC635" i="23" s="1"/>
  <c r="AC636" i="23" s="1"/>
  <c r="AC165" i="24"/>
  <c r="AC637" i="23" l="1"/>
  <c r="AC166" i="24"/>
  <c r="AC638" i="23" l="1"/>
  <c r="AC167" i="24"/>
  <c r="AC639" i="23" l="1"/>
  <c r="AC168" i="24"/>
  <c r="AC640" i="23" l="1"/>
  <c r="AC169" i="24"/>
  <c r="AC641" i="23" l="1"/>
  <c r="AC170" i="24"/>
  <c r="AC642" i="23" l="1"/>
  <c r="AC171" i="24"/>
  <c r="AC643" i="23" l="1"/>
  <c r="AC172" i="24"/>
  <c r="AC173" i="24" s="1"/>
  <c r="AC174" i="24" s="1"/>
  <c r="AC175" i="24" s="1"/>
  <c r="AC176" i="24" s="1"/>
  <c r="AC177" i="24" s="1"/>
  <c r="AC178" i="24" s="1"/>
  <c r="AC179" i="24" s="1"/>
  <c r="AC180" i="24" s="1"/>
  <c r="AC181" i="24" s="1"/>
  <c r="AC182" i="24" s="1"/>
  <c r="AC183" i="24" s="1"/>
  <c r="AC184" i="24" s="1"/>
  <c r="AC185" i="24" s="1"/>
  <c r="AC186" i="24" s="1"/>
  <c r="AC187" i="24" s="1"/>
  <c r="AC188" i="24" s="1"/>
  <c r="AC189" i="24" s="1"/>
  <c r="AC190" i="24" s="1"/>
  <c r="AC191" i="24" s="1"/>
  <c r="AC192" i="24" s="1"/>
  <c r="AC193" i="24" s="1"/>
  <c r="AC194" i="24" s="1"/>
  <c r="AC195" i="24" s="1"/>
  <c r="AC196" i="24" s="1"/>
  <c r="AC197" i="24" s="1"/>
  <c r="AC198" i="24" s="1"/>
  <c r="AC199" i="24" s="1"/>
  <c r="AC200" i="24" s="1"/>
  <c r="AC201" i="24" s="1"/>
  <c r="AC202" i="24" s="1"/>
  <c r="AC203" i="24" s="1"/>
  <c r="AC204" i="24" s="1"/>
  <c r="AC205" i="24" s="1"/>
  <c r="AC206" i="24" s="1"/>
  <c r="AC207" i="24" s="1"/>
  <c r="AC208" i="24" s="1"/>
  <c r="AC209" i="24" s="1"/>
  <c r="AC210" i="24" s="1"/>
  <c r="AC211" i="24" s="1"/>
  <c r="AC212" i="24" s="1"/>
  <c r="AC213" i="24" s="1"/>
  <c r="AC214" i="24" s="1"/>
  <c r="AC215" i="24" s="1"/>
  <c r="AC216" i="24" s="1"/>
  <c r="AC217" i="24" s="1"/>
  <c r="AC218" i="24" s="1"/>
  <c r="AC219" i="24" s="1"/>
  <c r="AC220" i="24" s="1"/>
  <c r="AC221" i="24" s="1"/>
  <c r="AC222" i="24" s="1"/>
  <c r="AC223" i="24" s="1"/>
  <c r="AC224" i="24" s="1"/>
  <c r="AC225" i="24" s="1"/>
  <c r="AC226" i="24" s="1"/>
  <c r="AC227" i="24" s="1"/>
  <c r="AC228" i="24" s="1"/>
  <c r="AC229" i="24" s="1"/>
  <c r="AC230" i="24" s="1"/>
  <c r="AC231" i="24" s="1"/>
  <c r="AC232" i="24" s="1"/>
  <c r="AC233" i="24" s="1"/>
  <c r="AC234" i="24" s="1"/>
  <c r="AC235" i="24" s="1"/>
  <c r="AC236" i="24" s="1"/>
  <c r="AC237" i="24" s="1"/>
  <c r="AC238" i="24" s="1"/>
  <c r="AC239" i="24" s="1"/>
  <c r="AC240" i="24" s="1"/>
  <c r="AC241" i="24" s="1"/>
  <c r="AC242" i="24" s="1"/>
  <c r="AC243" i="24" s="1"/>
  <c r="AC244" i="24" s="1"/>
  <c r="AC245" i="24" s="1"/>
  <c r="AC246" i="24" s="1"/>
  <c r="AC247" i="24" s="1"/>
  <c r="AC248" i="24" s="1"/>
  <c r="AC644" i="23" l="1"/>
  <c r="AC249" i="24"/>
  <c r="AC250" i="24" s="1"/>
  <c r="AC251" i="24" s="1"/>
  <c r="AC252" i="24" s="1"/>
  <c r="AC253" i="24" s="1"/>
  <c r="AC254" i="24" s="1"/>
  <c r="AC255" i="24" s="1"/>
  <c r="AC256" i="24" s="1"/>
  <c r="AC257" i="24" s="1"/>
  <c r="AC258" i="24" s="1"/>
  <c r="AC259" i="24" s="1"/>
  <c r="AC260" i="24" s="1"/>
  <c r="AC261" i="24" s="1"/>
  <c r="AC262" i="24" s="1"/>
  <c r="AC263" i="24" s="1"/>
  <c r="AC645" i="23" l="1"/>
  <c r="AC264" i="24"/>
  <c r="AC265" i="24" s="1"/>
  <c r="AC266" i="24" s="1"/>
  <c r="AC267" i="24" s="1"/>
  <c r="AC268" i="24" s="1"/>
  <c r="AC269" i="24" s="1"/>
  <c r="AC270" i="24" s="1"/>
  <c r="AC271" i="24" s="1"/>
  <c r="AC272" i="24" s="1"/>
  <c r="AC273" i="24" s="1"/>
  <c r="AC274" i="24" s="1"/>
  <c r="AC275" i="24" s="1"/>
  <c r="AC276" i="24" s="1"/>
  <c r="AC277" i="24" s="1"/>
  <c r="AC278" i="24" s="1"/>
  <c r="AC279" i="24" s="1"/>
  <c r="AC280" i="24" s="1"/>
  <c r="AC281" i="24" s="1"/>
  <c r="AC282" i="24" s="1"/>
  <c r="AC283" i="24" s="1"/>
  <c r="AC284" i="24" s="1"/>
  <c r="AC285" i="24" s="1"/>
  <c r="AC286" i="24" s="1"/>
  <c r="AC287" i="24" s="1"/>
  <c r="AC288" i="24" s="1"/>
  <c r="AC289" i="24" s="1"/>
  <c r="AC290" i="24" s="1"/>
  <c r="AC291" i="24" s="1"/>
  <c r="AC292" i="24" s="1"/>
  <c r="AC293" i="24" s="1"/>
  <c r="AC294" i="24" s="1"/>
  <c r="AC295" i="24" s="1"/>
  <c r="AC296" i="24" s="1"/>
  <c r="AC297" i="24" s="1"/>
  <c r="AC298" i="24" s="1"/>
  <c r="AC646" i="23" l="1"/>
  <c r="AC299" i="24"/>
  <c r="AC300" i="24" s="1"/>
  <c r="AC301" i="24" s="1"/>
  <c r="AC302" i="24" s="1"/>
  <c r="AC303" i="24" s="1"/>
  <c r="AC304" i="24" s="1"/>
  <c r="AC305" i="24" s="1"/>
  <c r="AC306" i="24" s="1"/>
  <c r="AC307" i="24" s="1"/>
  <c r="AC647" i="23" l="1"/>
  <c r="AC308" i="24"/>
  <c r="AC309" i="24" s="1"/>
  <c r="AC310" i="24" s="1"/>
  <c r="AC311" i="24" s="1"/>
  <c r="AC312" i="24" s="1"/>
  <c r="AC313" i="24" s="1"/>
  <c r="AC314" i="24" s="1"/>
  <c r="AC315" i="24" s="1"/>
  <c r="AC316" i="24" s="1"/>
  <c r="AC317" i="24" s="1"/>
  <c r="AC318" i="24" s="1"/>
  <c r="AC319" i="24" s="1"/>
  <c r="AC320" i="24" s="1"/>
  <c r="AC321" i="24" s="1"/>
  <c r="AC322" i="24" s="1"/>
  <c r="AC323" i="24" s="1"/>
  <c r="AC324" i="24" s="1"/>
  <c r="AC325" i="24" s="1"/>
  <c r="AC326" i="24" s="1"/>
  <c r="AC648" i="23" l="1"/>
  <c r="AC327" i="24"/>
  <c r="AC328" i="24" s="1"/>
  <c r="AC329" i="24" s="1"/>
  <c r="AC330" i="24" s="1"/>
  <c r="AC331" i="24" s="1"/>
  <c r="AC332" i="24" s="1"/>
  <c r="AC333" i="24" s="1"/>
  <c r="AC334" i="24" s="1"/>
  <c r="AC335" i="24" s="1"/>
  <c r="AC336" i="24" s="1"/>
  <c r="AC337" i="24" s="1"/>
  <c r="AC338" i="24" s="1"/>
  <c r="AC339" i="24" s="1"/>
  <c r="AC340" i="24" s="1"/>
  <c r="AC341" i="24" s="1"/>
  <c r="AC342" i="24" s="1"/>
  <c r="AC343" i="24" s="1"/>
  <c r="AC344" i="24" s="1"/>
  <c r="AC345" i="24" s="1"/>
  <c r="AC346" i="24" s="1"/>
  <c r="AC347" i="24" s="1"/>
  <c r="AC348" i="24" s="1"/>
  <c r="AC349" i="24" s="1"/>
  <c r="AC350" i="24" s="1"/>
  <c r="AC351" i="24" s="1"/>
  <c r="AC352" i="24" s="1"/>
  <c r="AC353" i="24" s="1"/>
  <c r="AC354" i="24" s="1"/>
  <c r="AC355" i="24" s="1"/>
  <c r="AC356" i="24" s="1"/>
  <c r="AC357" i="24" s="1"/>
  <c r="AC358" i="24" s="1"/>
  <c r="AC359" i="24" s="1"/>
  <c r="AC360" i="24" s="1"/>
  <c r="AC361" i="24" s="1"/>
  <c r="AC362" i="24" s="1"/>
  <c r="AC363" i="24" s="1"/>
  <c r="AC649" i="23" l="1"/>
  <c r="AC364" i="24"/>
  <c r="AC365" i="24" s="1"/>
  <c r="AC650" i="23" l="1"/>
  <c r="AC366" i="24"/>
  <c r="AC367" i="24" s="1"/>
  <c r="AC368" i="24" s="1"/>
  <c r="AC369" i="24" s="1"/>
  <c r="AC370" i="24" s="1"/>
  <c r="AC371" i="24" s="1"/>
  <c r="AC372" i="24" s="1"/>
  <c r="AC373" i="24" s="1"/>
  <c r="AC374" i="24" s="1"/>
  <c r="AC375" i="24" s="1"/>
  <c r="AC376" i="24" s="1"/>
  <c r="AC377" i="24" s="1"/>
  <c r="AC651" i="23" l="1"/>
  <c r="AC378" i="24"/>
  <c r="AC379" i="24" s="1"/>
  <c r="AC380" i="24" s="1"/>
  <c r="AC381" i="24" s="1"/>
  <c r="AC382" i="24" s="1"/>
  <c r="AC383" i="24" s="1"/>
  <c r="AC384" i="24" s="1"/>
  <c r="AC385" i="24" s="1"/>
  <c r="AC386" i="24" s="1"/>
  <c r="AC387" i="24" s="1"/>
  <c r="AC388" i="24" s="1"/>
  <c r="AC389" i="24" s="1"/>
  <c r="AC390" i="24" s="1"/>
  <c r="AC391" i="24" s="1"/>
  <c r="AC392" i="24" s="1"/>
  <c r="AC393" i="24" s="1"/>
  <c r="AC394" i="24" s="1"/>
  <c r="AC395" i="24" s="1"/>
  <c r="AC396" i="24" s="1"/>
  <c r="AC397" i="24" s="1"/>
  <c r="AC398" i="24" s="1"/>
  <c r="AC399" i="24" s="1"/>
  <c r="AC400" i="24" s="1"/>
  <c r="AC401" i="24" s="1"/>
  <c r="AC402" i="24" s="1"/>
  <c r="AC403" i="24" s="1"/>
  <c r="AC404" i="24" s="1"/>
  <c r="AC405" i="24" s="1"/>
  <c r="AC406" i="24" s="1"/>
  <c r="AC407" i="24" s="1"/>
  <c r="AC408" i="24" s="1"/>
  <c r="AC409" i="24" s="1"/>
  <c r="AC410" i="24" s="1"/>
  <c r="AC411" i="24" s="1"/>
  <c r="AC412" i="24" s="1"/>
  <c r="AC413" i="24" s="1"/>
  <c r="AC414" i="24" s="1"/>
  <c r="AC415" i="24" s="1"/>
  <c r="AC416" i="24" s="1"/>
  <c r="AC417" i="24" s="1"/>
  <c r="AC418" i="24" s="1"/>
  <c r="AC419" i="24" s="1"/>
  <c r="AC420" i="24" s="1"/>
  <c r="AC421" i="24" s="1"/>
  <c r="AC652" i="23" l="1"/>
  <c r="AC422" i="24"/>
  <c r="AC423" i="24" s="1"/>
  <c r="AC424" i="24" s="1"/>
  <c r="AC425" i="24" s="1"/>
  <c r="AC426" i="24" s="1"/>
  <c r="AC427" i="24" s="1"/>
  <c r="AC428" i="24" s="1"/>
  <c r="AC429" i="24" s="1"/>
  <c r="AC430" i="24" s="1"/>
  <c r="AC431" i="24" s="1"/>
  <c r="AC432" i="24" s="1"/>
  <c r="AC433" i="24" s="1"/>
  <c r="AC434" i="24" s="1"/>
  <c r="AC435" i="24" s="1"/>
  <c r="AC436" i="24" s="1"/>
  <c r="AC437" i="24" s="1"/>
  <c r="AC438" i="24" s="1"/>
  <c r="AC653" i="23" l="1"/>
  <c r="AC439" i="24"/>
  <c r="AC440" i="24" s="1"/>
  <c r="AC441" i="24" s="1"/>
  <c r="AC442" i="24" s="1"/>
  <c r="AC443" i="24" s="1"/>
  <c r="AC444" i="24" s="1"/>
  <c r="AC445" i="24" s="1"/>
  <c r="AC446" i="24" s="1"/>
  <c r="AC447" i="24" s="1"/>
  <c r="AC448" i="24" s="1"/>
  <c r="AC449" i="24" s="1"/>
  <c r="AC450" i="24" s="1"/>
  <c r="AC451" i="24" s="1"/>
  <c r="AC452" i="24" s="1"/>
  <c r="AC453" i="24" s="1"/>
  <c r="AC454" i="24" s="1"/>
  <c r="AC455" i="24" s="1"/>
  <c r="AC456" i="24" s="1"/>
  <c r="AC457" i="24" s="1"/>
  <c r="AC458" i="24" s="1"/>
  <c r="AC459" i="24" s="1"/>
  <c r="AC460" i="24" s="1"/>
  <c r="AC461" i="24" s="1"/>
  <c r="AC462" i="24" s="1"/>
  <c r="AC654" i="23" l="1"/>
  <c r="AC463" i="24"/>
  <c r="AC464" i="24" s="1"/>
  <c r="AC465" i="24" s="1"/>
  <c r="AC466" i="24" s="1"/>
  <c r="AC467" i="24" s="1"/>
  <c r="AC655" i="23" l="1"/>
  <c r="AC468" i="24"/>
  <c r="AC656" i="23" l="1"/>
  <c r="AC469" i="24"/>
  <c r="AC470" i="24" s="1"/>
  <c r="AC657" i="23" l="1"/>
  <c r="AC471" i="24"/>
  <c r="AC472" i="24" s="1"/>
  <c r="AC658" i="23" l="1"/>
  <c r="AC473" i="24"/>
  <c r="AC474" i="24" s="1"/>
  <c r="AC475" i="24" s="1"/>
  <c r="AC476" i="24" s="1"/>
  <c r="AC477" i="24" s="1"/>
  <c r="AC478" i="24" s="1"/>
  <c r="AC479" i="24" s="1"/>
  <c r="AC480" i="24" s="1"/>
  <c r="AC481" i="24" s="1"/>
  <c r="AC659" i="23" l="1"/>
  <c r="AC482" i="24"/>
  <c r="AC483" i="24" s="1"/>
  <c r="AC484" i="24" s="1"/>
  <c r="AC485" i="24" s="1"/>
  <c r="AC486" i="24" s="1"/>
  <c r="AC487" i="24" s="1"/>
  <c r="AC488" i="24" s="1"/>
  <c r="AC489" i="24" s="1"/>
  <c r="AC490" i="24" s="1"/>
  <c r="AC491" i="24" s="1"/>
  <c r="AC492" i="24" s="1"/>
  <c r="AC493" i="24" s="1"/>
  <c r="AC494" i="24" s="1"/>
  <c r="AC495" i="24" s="1"/>
  <c r="AC496" i="24" s="1"/>
  <c r="AC497" i="24" s="1"/>
  <c r="AC498" i="24" s="1"/>
  <c r="AC499" i="24" s="1"/>
  <c r="AC500" i="24" s="1"/>
  <c r="AC501" i="24" s="1"/>
  <c r="AC660" i="23" l="1"/>
  <c r="AC502" i="24"/>
  <c r="AC503" i="24" s="1"/>
  <c r="AC504" i="24" s="1"/>
  <c r="AC661" i="23" l="1"/>
  <c r="AC505" i="24"/>
  <c r="AC506" i="24" s="1"/>
  <c r="AC507" i="24" s="1"/>
  <c r="AC662" i="23" l="1"/>
  <c r="AC508" i="24"/>
  <c r="AC509" i="24" s="1"/>
  <c r="AC510" i="24" s="1"/>
  <c r="AC511" i="24" s="1"/>
  <c r="AC512" i="24" s="1"/>
  <c r="AC513" i="24" s="1"/>
  <c r="AC514" i="24" s="1"/>
  <c r="AC515" i="24" s="1"/>
  <c r="AC516" i="24" s="1"/>
  <c r="AC517" i="24" s="1"/>
  <c r="AC518" i="24" s="1"/>
  <c r="AC519" i="24" s="1"/>
  <c r="AC520" i="24" s="1"/>
  <c r="AC521" i="24" s="1"/>
  <c r="AC522" i="24" s="1"/>
  <c r="AC523" i="24" s="1"/>
  <c r="AC524" i="24" s="1"/>
  <c r="AC525" i="24" s="1"/>
  <c r="AC526" i="24" s="1"/>
  <c r="AC527" i="24" s="1"/>
  <c r="AC528" i="24" s="1"/>
  <c r="AC529" i="24" s="1"/>
  <c r="AC530" i="24" s="1"/>
  <c r="AC663" i="23" l="1"/>
  <c r="AC531" i="24"/>
  <c r="AC664" i="23" l="1"/>
  <c r="AC532" i="24"/>
  <c r="AC665" i="23" l="1"/>
  <c r="AC533" i="24"/>
  <c r="AC534" i="24" s="1"/>
  <c r="AC535" i="24" l="1"/>
  <c r="AC536" i="24" s="1"/>
  <c r="AC537" i="24" s="1"/>
  <c r="AC666" i="23"/>
  <c r="AC538" i="24" l="1"/>
  <c r="AC539" i="24" s="1"/>
  <c r="AC667" i="23"/>
  <c r="AC540" i="24" l="1"/>
  <c r="AC541" i="24" s="1"/>
  <c r="AC542" i="24" s="1"/>
  <c r="AC543" i="24" s="1"/>
  <c r="AC544" i="24" s="1"/>
  <c r="AC545" i="24" s="1"/>
  <c r="AC546" i="24" s="1"/>
  <c r="AC547" i="24" s="1"/>
  <c r="AC668" i="23"/>
  <c r="AC548" i="24" l="1"/>
  <c r="AC549" i="24" s="1"/>
  <c r="AC669" i="23"/>
  <c r="AC550" i="24" l="1"/>
  <c r="AC551" i="24" s="1"/>
  <c r="AC552" i="24" s="1"/>
  <c r="AC670" i="23"/>
  <c r="AC671" i="23" l="1"/>
  <c r="AC553" i="24"/>
  <c r="AC554" i="24" s="1"/>
  <c r="AC555" i="24" s="1"/>
  <c r="AC556" i="24" s="1"/>
  <c r="AC557" i="24" s="1"/>
  <c r="AC558" i="24" s="1"/>
  <c r="AC559" i="24" s="1"/>
  <c r="AC560" i="24" s="1"/>
  <c r="AC561" i="24" s="1"/>
  <c r="AC672" i="23" l="1"/>
  <c r="AC562" i="24"/>
  <c r="AC563" i="24" s="1"/>
  <c r="AC564" i="24" s="1"/>
  <c r="AC565" i="24" l="1"/>
  <c r="AC566" i="24" s="1"/>
  <c r="AC673" i="23"/>
  <c r="AC674" i="23" l="1"/>
  <c r="AC567" i="24"/>
  <c r="AC675" i="23" l="1"/>
  <c r="AC568" i="24"/>
  <c r="AC569" i="24" s="1"/>
  <c r="AC570" i="24" l="1"/>
  <c r="AC676" i="23"/>
  <c r="AC571" i="24"/>
  <c r="AC677" i="23" l="1"/>
  <c r="AC572" i="24"/>
  <c r="AC678" i="23" l="1"/>
  <c r="AC573" i="24"/>
  <c r="AC679" i="23" l="1"/>
  <c r="AC574" i="24"/>
  <c r="AC680" i="23" l="1"/>
  <c r="AC575" i="24"/>
  <c r="AC681" i="23" l="1"/>
  <c r="AC576" i="24"/>
  <c r="AC682" i="23" l="1"/>
  <c r="AC577" i="24"/>
  <c r="AC683" i="23" l="1"/>
  <c r="AC578" i="24"/>
  <c r="AC684" i="23" l="1"/>
  <c r="AC579" i="24"/>
  <c r="AC685" i="23" l="1"/>
  <c r="AC580" i="24"/>
  <c r="AC686" i="23" l="1"/>
  <c r="AC581" i="24"/>
  <c r="AC582" i="24" s="1"/>
  <c r="AC583" i="24" s="1"/>
  <c r="AC584" i="24" s="1"/>
  <c r="AC585" i="24" s="1"/>
  <c r="AC586" i="24" s="1"/>
  <c r="AC587" i="24" s="1"/>
  <c r="AC588" i="24" s="1"/>
  <c r="AC589" i="24" s="1"/>
  <c r="AC590" i="24" s="1"/>
  <c r="AC591" i="24" s="1"/>
  <c r="AC592" i="24" s="1"/>
  <c r="AC593" i="24" s="1"/>
  <c r="AC594" i="24" s="1"/>
  <c r="AC595" i="24" s="1"/>
  <c r="AC596" i="24" s="1"/>
  <c r="AC597" i="24" s="1"/>
  <c r="AC598" i="24" s="1"/>
  <c r="AC599" i="24" s="1"/>
  <c r="AC600" i="24" s="1"/>
  <c r="AC601" i="24" s="1"/>
  <c r="AC602" i="24" s="1"/>
  <c r="AC603" i="24" s="1"/>
  <c r="AC604" i="24" s="1"/>
  <c r="AC687" i="23" l="1"/>
  <c r="AC605" i="24"/>
  <c r="AC688" i="23" l="1"/>
  <c r="AC606" i="24"/>
  <c r="AC607" i="24" s="1"/>
  <c r="AC608" i="24" s="1"/>
  <c r="AC609" i="24" s="1"/>
  <c r="AC610" i="24" s="1"/>
  <c r="AC611" i="24" s="1"/>
  <c r="AC612" i="24" s="1"/>
  <c r="AC613" i="24" s="1"/>
  <c r="AC614" i="24" s="1"/>
  <c r="AC615" i="24" s="1"/>
  <c r="AC616" i="24" s="1"/>
  <c r="AC617" i="24" s="1"/>
  <c r="AC618" i="24" s="1"/>
  <c r="AC619" i="24" s="1"/>
  <c r="AC620" i="24" s="1"/>
  <c r="AC621" i="24" s="1"/>
  <c r="AC622" i="24" s="1"/>
  <c r="AC623" i="24" s="1"/>
  <c r="AC624" i="24" s="1"/>
  <c r="AC625" i="24" s="1"/>
  <c r="AC626" i="24" s="1"/>
  <c r="AC627" i="24" s="1"/>
  <c r="AC628" i="24" s="1"/>
  <c r="AC629" i="24" s="1"/>
  <c r="AC630" i="24" s="1"/>
  <c r="AC631" i="24" s="1"/>
  <c r="AC632" i="24" s="1"/>
  <c r="AC633" i="24" s="1"/>
  <c r="AC634" i="24" s="1"/>
  <c r="AC635" i="24" s="1"/>
  <c r="AC636" i="24" s="1"/>
  <c r="AC689" i="23" l="1"/>
  <c r="AC637" i="24"/>
  <c r="AC638" i="24" s="1"/>
  <c r="AC639" i="24" l="1"/>
  <c r="AC640" i="24" s="1"/>
  <c r="AC641" i="24" s="1"/>
  <c r="AC642" i="24" s="1"/>
  <c r="AC643" i="24" s="1"/>
  <c r="AC644" i="24" s="1"/>
  <c r="AC645" i="24" s="1"/>
  <c r="AC646" i="24" s="1"/>
  <c r="AC647" i="24" s="1"/>
  <c r="AC648" i="24" s="1"/>
  <c r="AC649" i="24" s="1"/>
  <c r="AC650" i="24" s="1"/>
  <c r="AC651" i="24" s="1"/>
  <c r="AC652" i="24" s="1"/>
  <c r="AC653" i="24" s="1"/>
  <c r="AC654" i="24" s="1"/>
  <c r="AC655" i="24" s="1"/>
  <c r="AC656" i="24" s="1"/>
  <c r="AC657" i="24" s="1"/>
  <c r="AC658" i="24" s="1"/>
  <c r="AC659" i="24" s="1"/>
  <c r="AC660" i="24" s="1"/>
  <c r="AC661" i="24" s="1"/>
  <c r="AC662" i="24" s="1"/>
  <c r="AC663" i="24" s="1"/>
  <c r="AC664" i="24" s="1"/>
  <c r="AC665" i="24" s="1"/>
  <c r="AC666" i="24" s="1"/>
  <c r="AC667" i="24" s="1"/>
  <c r="AC668" i="24" s="1"/>
  <c r="AC690" i="23"/>
  <c r="AC691" i="23" l="1"/>
  <c r="AC669" i="24"/>
  <c r="AC670" i="24"/>
  <c r="AC671" i="24" s="1"/>
  <c r="AC672" i="24" s="1"/>
  <c r="AC673" i="24" s="1"/>
  <c r="AC674" i="24" s="1"/>
  <c r="AC675" i="24" s="1"/>
  <c r="AC676" i="24" s="1"/>
  <c r="AC677" i="24" s="1"/>
  <c r="AC678" i="24" s="1"/>
  <c r="AC679" i="24" s="1"/>
  <c r="AC680" i="24" s="1"/>
  <c r="AC681" i="24" s="1"/>
  <c r="AC682" i="24" s="1"/>
  <c r="AC683" i="24" s="1"/>
  <c r="AC684" i="24" s="1"/>
  <c r="AC685" i="24" s="1"/>
  <c r="AC686" i="24" s="1"/>
  <c r="AC687" i="24" s="1"/>
  <c r="AC688" i="24" s="1"/>
  <c r="AC689" i="24" s="1"/>
  <c r="AC690" i="24" s="1"/>
  <c r="AC691" i="24" s="1"/>
  <c r="AC692" i="24" s="1"/>
  <c r="AC693" i="24" s="1"/>
  <c r="AC694" i="24" s="1"/>
  <c r="AC695" i="24" s="1"/>
  <c r="AC696" i="24" s="1"/>
  <c r="AC697" i="24" s="1"/>
  <c r="AC698" i="24" s="1"/>
  <c r="AC699" i="24" s="1"/>
  <c r="AC700" i="24" s="1"/>
  <c r="AC701" i="24" s="1"/>
  <c r="AC702" i="24" s="1"/>
  <c r="AC703" i="24" s="1"/>
  <c r="AC704" i="24" s="1"/>
  <c r="AC705" i="24" s="1"/>
  <c r="AC706" i="24" s="1"/>
  <c r="AC707" i="24" s="1"/>
  <c r="AC708" i="24" s="1"/>
  <c r="AC709" i="24" s="1"/>
  <c r="AC710" i="24" s="1"/>
  <c r="AC711" i="24" s="1"/>
  <c r="AC712" i="24" l="1"/>
  <c r="AC692" i="23"/>
  <c r="AC693" i="23" l="1"/>
  <c r="AC713" i="24"/>
  <c r="AC714" i="24" l="1"/>
  <c r="AC694" i="23"/>
  <c r="AC695" i="23" l="1"/>
  <c r="AC715" i="24"/>
  <c r="AC716" i="24" l="1"/>
  <c r="AC696" i="23"/>
  <c r="AC697" i="23" l="1"/>
  <c r="AC717" i="24"/>
  <c r="AC718" i="24" l="1"/>
  <c r="AC698" i="23"/>
  <c r="AC699" i="23" l="1"/>
  <c r="AC719" i="24"/>
  <c r="AC720" i="24" l="1"/>
  <c r="AC700" i="23"/>
  <c r="AC701" i="23" l="1"/>
  <c r="AC721" i="24"/>
  <c r="AC722" i="24" l="1"/>
  <c r="AC702" i="23"/>
  <c r="AC703" i="23" l="1"/>
  <c r="AC723" i="24"/>
  <c r="AC704" i="23" l="1"/>
  <c r="AC724" i="24"/>
  <c r="AC725" i="24" l="1"/>
  <c r="AC705" i="23"/>
  <c r="AC706" i="23" l="1"/>
  <c r="AC726" i="24"/>
  <c r="AC727" i="24" l="1"/>
  <c r="AC707" i="23"/>
  <c r="AC708" i="23" l="1"/>
  <c r="AC728" i="24"/>
  <c r="AC729" i="24" l="1"/>
  <c r="AC709" i="23"/>
  <c r="AC710" i="23" l="1"/>
  <c r="AC730" i="24"/>
  <c r="AC731" i="24" l="1"/>
  <c r="AC711" i="23"/>
  <c r="AC712" i="23" l="1"/>
  <c r="AC732" i="24"/>
  <c r="AC733" i="24" l="1"/>
  <c r="AC713" i="23"/>
  <c r="AC714" i="23" l="1"/>
  <c r="AC734" i="24"/>
  <c r="AC735" i="24" l="1"/>
  <c r="AC715" i="23"/>
  <c r="AC716" i="23" l="1"/>
  <c r="AC736" i="24"/>
  <c r="AC737" i="24" l="1"/>
  <c r="AC717" i="23"/>
  <c r="AC718" i="23" l="1"/>
  <c r="AC738" i="24"/>
  <c r="AC739" i="24" l="1"/>
  <c r="AC719" i="23"/>
  <c r="AC740" i="24" l="1"/>
  <c r="AC720" i="23"/>
  <c r="AC721" i="23" l="1"/>
  <c r="AC741" i="24"/>
  <c r="AC722" i="23" l="1"/>
  <c r="AC742" i="24"/>
  <c r="AC743" i="24" l="1"/>
  <c r="AC723" i="23"/>
  <c r="AC744" i="24" l="1"/>
  <c r="AC724" i="23"/>
  <c r="AC725" i="23" l="1"/>
  <c r="AC745" i="24"/>
  <c r="AC726" i="23" l="1"/>
  <c r="AC746" i="24"/>
  <c r="AC747" i="24" l="1"/>
  <c r="AC727" i="23"/>
  <c r="AC748" i="24" l="1"/>
  <c r="AC728" i="23"/>
  <c r="AC729" i="23" l="1"/>
  <c r="AC749" i="24"/>
  <c r="AC750" i="24" l="1"/>
  <c r="AC730" i="23"/>
  <c r="AC731" i="23" l="1"/>
  <c r="AC751" i="24"/>
  <c r="AC752" i="24" l="1"/>
  <c r="AC732" i="23"/>
  <c r="AC733" i="23" l="1"/>
  <c r="AC753" i="24"/>
  <c r="AC754" i="24"/>
  <c r="AC755" i="24" s="1"/>
  <c r="AC756" i="24" s="1"/>
  <c r="AC757" i="24" s="1"/>
  <c r="AC758" i="24" s="1"/>
  <c r="AC759" i="24" s="1"/>
  <c r="AC760" i="24" s="1"/>
  <c r="AC761" i="24" s="1"/>
  <c r="AC762" i="24" s="1"/>
  <c r="AC763" i="24" s="1"/>
  <c r="AC764" i="24" s="1"/>
  <c r="AC765" i="24" s="1"/>
  <c r="AC766" i="24" s="1"/>
  <c r="AC767" i="24" s="1"/>
  <c r="AC768" i="24" s="1"/>
  <c r="AC769" i="24" s="1"/>
  <c r="AC770" i="24" s="1"/>
  <c r="AC771" i="24" s="1"/>
  <c r="AC772" i="24" s="1"/>
  <c r="AC773" i="24" s="1"/>
  <c r="AC774" i="24" s="1"/>
  <c r="AC775" i="24" s="1"/>
  <c r="AC776" i="24" s="1"/>
  <c r="AC777" i="24" s="1"/>
  <c r="AC778" i="24" s="1"/>
  <c r="AC779" i="24" s="1"/>
  <c r="AC780" i="24" l="1"/>
  <c r="AC734" i="23"/>
  <c r="AC735" i="23" l="1"/>
  <c r="AC781" i="24"/>
  <c r="AC736" i="23" l="1"/>
  <c r="AC782" i="24"/>
  <c r="AC783" i="24" s="1"/>
  <c r="AC784" i="24" s="1"/>
  <c r="AC785" i="24" s="1"/>
  <c r="AC786" i="24" s="1"/>
  <c r="AC787" i="24" s="1"/>
  <c r="AC788" i="24" s="1"/>
  <c r="AC789" i="24" s="1"/>
  <c r="AC790" i="24" s="1"/>
  <c r="AC791" i="24" s="1"/>
  <c r="AC792" i="24" s="1"/>
  <c r="AC793" i="24" s="1"/>
  <c r="AC794" i="24" s="1"/>
  <c r="AC795" i="24" s="1"/>
  <c r="AC796" i="24" s="1"/>
  <c r="AC797" i="24" s="1"/>
  <c r="AC798" i="24" s="1"/>
  <c r="AC799" i="24" s="1"/>
  <c r="AC800" i="24" s="1"/>
  <c r="AC801" i="24" s="1"/>
  <c r="AC802" i="24" s="1"/>
  <c r="AC803" i="24" s="1"/>
  <c r="AC804" i="24" s="1"/>
  <c r="AC805" i="24" s="1"/>
  <c r="AC806" i="24" s="1"/>
  <c r="AC807" i="24" s="1"/>
  <c r="AC808" i="24" s="1"/>
  <c r="AC809" i="24" s="1"/>
  <c r="AC810" i="24" s="1"/>
  <c r="AC811" i="24" s="1"/>
  <c r="AC812" i="24" s="1"/>
  <c r="AC813" i="24" s="1"/>
  <c r="AC814" i="24" s="1"/>
  <c r="AC815" i="24" s="1"/>
  <c r="AC816" i="24" s="1"/>
  <c r="AC817" i="24" s="1"/>
  <c r="AC818" i="24" s="1"/>
  <c r="AC819" i="24" s="1"/>
  <c r="AC820" i="24" s="1"/>
  <c r="AC821" i="24" s="1"/>
  <c r="AC822" i="24" s="1"/>
  <c r="AC823" i="24" s="1"/>
  <c r="AC824" i="24" s="1"/>
  <c r="AC825" i="24" s="1"/>
  <c r="AC826" i="24" s="1"/>
  <c r="AC827" i="24" s="1"/>
  <c r="AC828" i="24" s="1"/>
  <c r="AC829" i="24" s="1"/>
  <c r="AC830" i="24" s="1"/>
  <c r="AC831" i="24" s="1"/>
  <c r="AC832" i="24" s="1"/>
  <c r="AC833" i="24" s="1"/>
  <c r="AC834" i="24" s="1"/>
  <c r="AC835" i="24" s="1"/>
  <c r="AC836" i="24" s="1"/>
  <c r="AC837" i="24" s="1"/>
  <c r="AC838" i="24" s="1"/>
  <c r="AC839" i="24" s="1"/>
  <c r="AC840" i="24" s="1"/>
  <c r="AC841" i="24" s="1"/>
  <c r="AC842" i="24" s="1"/>
  <c r="AC843" i="24" s="1"/>
  <c r="AC844" i="24" s="1"/>
  <c r="AC845" i="24" s="1"/>
  <c r="AC846" i="24" s="1"/>
  <c r="AC847" i="24" s="1"/>
  <c r="AC848" i="24" s="1"/>
  <c r="AC849" i="24" s="1"/>
  <c r="AC850" i="24" s="1"/>
  <c r="AC851" i="24" s="1"/>
  <c r="AC852" i="24" s="1"/>
  <c r="AC853" i="24" s="1"/>
  <c r="AC854" i="24" s="1"/>
  <c r="AC855" i="24" s="1"/>
  <c r="AC856" i="24" s="1"/>
  <c r="AC857" i="24" s="1"/>
  <c r="AC858" i="24" s="1"/>
  <c r="AC859" i="24" s="1"/>
  <c r="AC860" i="24" s="1"/>
  <c r="AC861" i="24" s="1"/>
  <c r="AC862" i="24" s="1"/>
  <c r="AC863" i="24" s="1"/>
  <c r="AC864" i="24" s="1"/>
  <c r="AC865" i="24" s="1"/>
  <c r="AC866" i="24" s="1"/>
  <c r="AC867" i="24" s="1"/>
  <c r="AC868" i="24" s="1"/>
  <c r="AC869" i="24" s="1"/>
  <c r="AC870" i="24" s="1"/>
  <c r="AC871" i="24" s="1"/>
  <c r="AC872" i="24" s="1"/>
  <c r="AC873" i="24" s="1"/>
  <c r="AC874" i="24" s="1"/>
  <c r="AC875" i="24" s="1"/>
  <c r="AC876" i="24" s="1"/>
  <c r="AC877" i="24" s="1"/>
  <c r="AC878" i="24" s="1"/>
  <c r="AC879" i="24" s="1"/>
  <c r="AC880" i="24" s="1"/>
  <c r="AC881" i="24" s="1"/>
  <c r="AC882" i="24" s="1"/>
  <c r="AC883" i="24" s="1"/>
  <c r="AC884" i="24" s="1"/>
  <c r="AC885" i="24" s="1"/>
  <c r="AC886" i="24" s="1"/>
  <c r="AC887" i="24" s="1"/>
  <c r="AC888" i="24" s="1"/>
  <c r="AC889" i="24" s="1"/>
  <c r="AC890" i="24" s="1"/>
  <c r="AC891" i="24" s="1"/>
  <c r="AC892" i="24" s="1"/>
  <c r="AC893" i="24" s="1"/>
  <c r="AC894" i="24" s="1"/>
  <c r="AC895" i="24" s="1"/>
  <c r="AC896" i="24" s="1"/>
  <c r="AC897" i="24" s="1"/>
  <c r="AC898" i="24" s="1"/>
  <c r="AC899" i="24" s="1"/>
  <c r="AC900" i="24" s="1"/>
  <c r="AC901" i="24" s="1"/>
  <c r="AC902" i="24" s="1"/>
  <c r="AC903" i="24" s="1"/>
  <c r="AC904" i="24" s="1"/>
  <c r="AC905" i="24" s="1"/>
  <c r="AC906" i="24" s="1"/>
  <c r="AC907" i="24" s="1"/>
  <c r="AC908" i="24" s="1"/>
  <c r="AC909" i="24" s="1"/>
  <c r="AC910" i="24" s="1"/>
  <c r="AC911" i="24" s="1"/>
  <c r="AC912" i="24" s="1"/>
  <c r="AC913" i="24" s="1"/>
  <c r="AC914" i="24" s="1"/>
  <c r="AC915" i="24" s="1"/>
  <c r="AC916" i="24" s="1"/>
  <c r="AC917" i="24" s="1"/>
  <c r="AC918" i="24" s="1"/>
  <c r="AC919" i="24" s="1"/>
  <c r="AC920" i="24" s="1"/>
  <c r="AC921" i="24" s="1"/>
  <c r="AC922" i="24" s="1"/>
  <c r="AC923" i="24" s="1"/>
  <c r="AC924" i="24" s="1"/>
  <c r="AC925" i="24" s="1"/>
  <c r="AC926" i="24" s="1"/>
  <c r="AC927" i="24" s="1"/>
  <c r="AC928" i="24" s="1"/>
  <c r="AC929" i="24" s="1"/>
  <c r="AC930" i="24" s="1"/>
  <c r="AC931" i="24" s="1"/>
  <c r="AC932" i="24" s="1"/>
  <c r="AC933" i="24" s="1"/>
  <c r="AC934" i="24" s="1"/>
  <c r="AC935" i="24" s="1"/>
  <c r="AC936" i="24" s="1"/>
  <c r="AC737" i="23" l="1"/>
  <c r="AC938" i="24"/>
  <c r="AC939" i="24" s="1"/>
  <c r="AC940" i="24" s="1"/>
  <c r="AC941" i="24" s="1"/>
  <c r="AC942" i="24" s="1"/>
  <c r="AC943" i="24" s="1"/>
  <c r="AC944" i="24" s="1"/>
  <c r="AC945" i="24" s="1"/>
  <c r="AC946" i="24" s="1"/>
  <c r="AC947" i="24" s="1"/>
  <c r="AC948" i="24" s="1"/>
  <c r="AC949" i="24" s="1"/>
  <c r="AC950" i="24" s="1"/>
  <c r="AC951" i="24" s="1"/>
  <c r="AC952" i="24" s="1"/>
  <c r="AC937" i="24"/>
  <c r="AC738" i="23" l="1"/>
  <c r="AC953" i="24"/>
  <c r="AC954" i="24" s="1"/>
  <c r="AC955" i="24" s="1"/>
  <c r="AC956" i="24" s="1"/>
  <c r="AC739" i="23" l="1"/>
  <c r="AC957" i="24"/>
  <c r="AC958" i="24" s="1"/>
  <c r="AC959" i="24" s="1"/>
  <c r="AC960" i="24" s="1"/>
  <c r="AC961" i="24" s="1"/>
  <c r="AC962" i="24" s="1"/>
  <c r="AC963" i="24" s="1"/>
  <c r="AC964" i="24" s="1"/>
  <c r="AC965" i="24" s="1"/>
  <c r="AC966" i="24" s="1"/>
  <c r="AC967" i="24" s="1"/>
  <c r="AC968" i="24" s="1"/>
  <c r="AC969" i="24" s="1"/>
  <c r="AC970" i="24" s="1"/>
  <c r="AC971" i="24" s="1"/>
  <c r="AC972" i="24" s="1"/>
  <c r="AC973" i="24" s="1"/>
  <c r="AC974" i="24" s="1"/>
  <c r="AC975" i="24" s="1"/>
  <c r="AC976" i="24" s="1"/>
  <c r="AC977" i="24" s="1"/>
  <c r="AC978" i="24" s="1"/>
  <c r="AC979" i="24" s="1"/>
  <c r="AC980" i="24" s="1"/>
  <c r="AC981" i="24" s="1"/>
  <c r="AC982" i="24" s="1"/>
  <c r="AC983" i="24" s="1"/>
  <c r="AC984" i="24" s="1"/>
  <c r="AC985" i="24" s="1"/>
  <c r="AC986" i="24" s="1"/>
  <c r="AC987" i="24" s="1"/>
  <c r="AC988" i="24" s="1"/>
  <c r="AC989" i="24" s="1"/>
  <c r="AC990" i="24" s="1"/>
  <c r="AC991" i="24" s="1"/>
  <c r="AC992" i="24" s="1"/>
  <c r="AC993" i="24" s="1"/>
  <c r="AC994" i="24" s="1"/>
  <c r="AC995" i="24" l="1"/>
  <c r="AC740" i="23"/>
  <c r="AC741" i="23" l="1"/>
  <c r="AC996" i="24"/>
  <c r="AC997" i="24" l="1"/>
  <c r="AC742" i="23"/>
  <c r="AC743" i="23" l="1"/>
  <c r="AC998" i="24"/>
  <c r="AC999" i="24" l="1"/>
  <c r="AC744" i="23"/>
  <c r="AC745" i="23" l="1"/>
  <c r="AC1000" i="24"/>
  <c r="AC1001" i="24" l="1"/>
  <c r="AC746" i="23"/>
  <c r="AC747" i="23" l="1"/>
  <c r="AC1002" i="24"/>
  <c r="AC1003" i="24" l="1"/>
  <c r="AC748" i="23"/>
  <c r="AC749" i="23" l="1"/>
  <c r="AC1004" i="24"/>
  <c r="AC1005" i="24" l="1"/>
  <c r="AC750" i="23"/>
  <c r="AC1006" i="24" l="1"/>
  <c r="AC751" i="23"/>
  <c r="AC752" i="23" l="1"/>
  <c r="AC1007" i="24"/>
  <c r="AC753" i="23" l="1"/>
  <c r="AC1008" i="24"/>
  <c r="AC754" i="23" l="1"/>
  <c r="AC1009" i="24"/>
  <c r="AC1010" i="24" l="1"/>
  <c r="AC755" i="23"/>
  <c r="AC756" i="23" l="1"/>
  <c r="AC1011" i="24"/>
  <c r="AC757" i="23" l="1"/>
  <c r="AC1012" i="24"/>
  <c r="AC1013" i="24" l="1"/>
  <c r="AC758" i="23"/>
  <c r="AC759" i="23" l="1"/>
  <c r="AC1014" i="24"/>
  <c r="AC1015" i="24" l="1"/>
  <c r="AC760" i="23"/>
  <c r="AC761" i="23" l="1"/>
  <c r="AC1016" i="24"/>
  <c r="AC1017" i="24" l="1"/>
  <c r="AC762" i="23"/>
  <c r="AC763" i="23" l="1"/>
  <c r="AC1018" i="24"/>
  <c r="AC1019" i="24" l="1"/>
  <c r="AC764" i="23"/>
  <c r="AC765" i="23" l="1"/>
  <c r="AC1020" i="24"/>
  <c r="AC1021" i="24" l="1"/>
  <c r="AC766" i="23"/>
  <c r="AC767" i="23" l="1"/>
  <c r="AC1022" i="24"/>
  <c r="AC1023" i="24" l="1"/>
  <c r="AC768" i="23"/>
  <c r="AC769" i="23" l="1"/>
  <c r="AC1024" i="24"/>
  <c r="AC1025" i="24" l="1"/>
  <c r="AC770" i="23"/>
  <c r="AC771" i="23" l="1"/>
  <c r="AC1026" i="24"/>
  <c r="AC1027" i="24" l="1"/>
  <c r="AC772" i="23"/>
  <c r="AC773" i="23" l="1"/>
  <c r="AC1028" i="24"/>
  <c r="AC1029" i="24" l="1"/>
  <c r="AC774" i="23"/>
  <c r="AC1030" i="24" l="1"/>
  <c r="AC775" i="23"/>
  <c r="AC776" i="23" l="1"/>
  <c r="AC1031" i="24"/>
  <c r="AC1032" i="24" l="1"/>
  <c r="AC777" i="23"/>
  <c r="AC778" i="23" l="1"/>
  <c r="AC1033" i="24"/>
  <c r="AC1034" i="24" l="1"/>
  <c r="AC779" i="23"/>
  <c r="AC780" i="23" l="1"/>
  <c r="AC1035" i="24"/>
  <c r="AC1036" i="24" l="1"/>
  <c r="AC781" i="23"/>
  <c r="AC782" i="23" l="1"/>
  <c r="AC1038" i="24"/>
  <c r="AC1039" i="24" s="1"/>
  <c r="AC1040" i="24" s="1"/>
  <c r="AC1041" i="24" s="1"/>
  <c r="AC1042" i="24" s="1"/>
  <c r="AC1043" i="24" s="1"/>
  <c r="AC1044" i="24" s="1"/>
  <c r="AC1045" i="24" s="1"/>
  <c r="AC1046" i="24" s="1"/>
  <c r="AC1047" i="24" s="1"/>
  <c r="AC1048" i="24" s="1"/>
  <c r="AC1049" i="24" s="1"/>
  <c r="AC1050" i="24" s="1"/>
  <c r="AC1051" i="24" s="1"/>
  <c r="AC1052" i="24" s="1"/>
  <c r="AC1053" i="24" s="1"/>
  <c r="AC1054" i="24" s="1"/>
  <c r="AC1055" i="24" s="1"/>
  <c r="AC1056" i="24" s="1"/>
  <c r="AC1057" i="24" s="1"/>
  <c r="AC1058" i="24" s="1"/>
  <c r="AC1059" i="24" s="1"/>
  <c r="AC1060" i="24" s="1"/>
  <c r="AC1061" i="24" s="1"/>
  <c r="AC1062" i="24" s="1"/>
  <c r="AC1063" i="24" s="1"/>
  <c r="AC1064" i="24" s="1"/>
  <c r="AC1065" i="24" s="1"/>
  <c r="AC1066" i="24" s="1"/>
  <c r="AC1067" i="24" s="1"/>
  <c r="AC1068" i="24" s="1"/>
  <c r="AC1069" i="24" s="1"/>
  <c r="AC1070" i="24" s="1"/>
  <c r="AC1071" i="24" s="1"/>
  <c r="AC1072" i="24" s="1"/>
  <c r="AC1073" i="24" s="1"/>
  <c r="AC1074" i="24" s="1"/>
  <c r="AC1075" i="24" s="1"/>
  <c r="AC1076" i="24" s="1"/>
  <c r="AC1077" i="24" s="1"/>
  <c r="AC1078" i="24" s="1"/>
  <c r="AC1037" i="24"/>
  <c r="AC1079" i="24" l="1"/>
  <c r="AC1080" i="24" s="1"/>
  <c r="AC783" i="23"/>
  <c r="AC1081" i="24" l="1"/>
  <c r="AC784" i="23"/>
  <c r="AC785" i="23" l="1"/>
  <c r="AC1082" i="24"/>
  <c r="AC1083" i="24" l="1"/>
  <c r="AC786" i="23"/>
  <c r="AC787" i="23" l="1"/>
  <c r="AC1084" i="24"/>
  <c r="AC788" i="23" l="1"/>
  <c r="AC1085" i="24"/>
  <c r="AC1086" i="24" l="1"/>
  <c r="AC789" i="23"/>
  <c r="AC790" i="23" l="1"/>
  <c r="AC1087" i="24"/>
  <c r="AC791" i="23" l="1"/>
  <c r="AC1088" i="24"/>
  <c r="AC1089" i="24" s="1"/>
  <c r="AC1090" i="24" s="1"/>
  <c r="AC1091" i="24" s="1"/>
  <c r="AC1092" i="24" s="1"/>
  <c r="AC1093" i="24" s="1"/>
  <c r="AC1094" i="24" s="1"/>
  <c r="AC1095" i="24" s="1"/>
  <c r="AC1096" i="24" s="1"/>
  <c r="AC1097" i="24" s="1"/>
  <c r="AC1098" i="24" s="1"/>
  <c r="AC1099" i="24" s="1"/>
  <c r="AC1100" i="24" s="1"/>
  <c r="AC1101" i="24" s="1"/>
  <c r="AC1102" i="24" s="1"/>
  <c r="AC1103" i="24" s="1"/>
  <c r="AC1104" i="24" s="1"/>
  <c r="AC1105" i="24" s="1"/>
  <c r="AC1106" i="24" s="1"/>
  <c r="AC1107" i="24" s="1"/>
  <c r="AC1108" i="24" s="1"/>
  <c r="AC1109" i="24" s="1"/>
  <c r="AC1110" i="24" s="1"/>
  <c r="AC1111" i="24" s="1"/>
  <c r="AC1112" i="24" s="1"/>
  <c r="AC1113" i="24" s="1"/>
  <c r="AC1114" i="24" s="1"/>
  <c r="AC1115" i="24" s="1"/>
  <c r="AC1116" i="24" s="1"/>
  <c r="AC1117" i="24" s="1"/>
  <c r="AC1118" i="24" s="1"/>
  <c r="AC1119" i="24" s="1"/>
  <c r="AC1120" i="24" s="1"/>
  <c r="AC1121" i="24" s="1"/>
  <c r="AC1122" i="24" s="1"/>
  <c r="AC1123" i="24" s="1"/>
  <c r="AC1124" i="24" s="1"/>
  <c r="AC792" i="23" l="1"/>
  <c r="AC1125" i="24"/>
  <c r="AC1126" i="24" s="1"/>
  <c r="AC1127" i="24" s="1"/>
  <c r="AC1128" i="24" s="1"/>
  <c r="AC1129" i="24" l="1"/>
  <c r="AC1130" i="24" s="1"/>
  <c r="AC1131" i="24" s="1"/>
  <c r="AC1132" i="24" s="1"/>
  <c r="AC1133" i="24" s="1"/>
  <c r="AC1134" i="24" s="1"/>
  <c r="AC1135" i="24" s="1"/>
  <c r="AC1136" i="24" s="1"/>
  <c r="AC1137" i="24" s="1"/>
  <c r="AC1138" i="24" s="1"/>
  <c r="AC1139" i="24" s="1"/>
  <c r="AC1140" i="24" s="1"/>
  <c r="AC1141" i="24" s="1"/>
  <c r="AC1142" i="24" s="1"/>
  <c r="AC1143" i="24" s="1"/>
  <c r="AC1144" i="24" s="1"/>
  <c r="AC1145" i="24" s="1"/>
  <c r="AC1146" i="24" s="1"/>
  <c r="AC1147" i="24" s="1"/>
  <c r="AC1148" i="24" s="1"/>
  <c r="AC1149" i="24" s="1"/>
  <c r="AC1150" i="24" s="1"/>
  <c r="AC1151" i="24" s="1"/>
  <c r="AC1152" i="24" s="1"/>
  <c r="AC1153" i="24" s="1"/>
  <c r="AC1154" i="24" s="1"/>
  <c r="AC1155" i="24" s="1"/>
  <c r="AC1156" i="24" s="1"/>
  <c r="AC1157" i="24" s="1"/>
  <c r="AC1158" i="24" s="1"/>
  <c r="AC1159" i="24" s="1"/>
  <c r="AC1160" i="24" s="1"/>
  <c r="AC1161" i="24" s="1"/>
  <c r="AC1162" i="24" s="1"/>
  <c r="AC1163" i="24" s="1"/>
  <c r="AC1164" i="24" s="1"/>
  <c r="AC1165" i="24" s="1"/>
  <c r="AC1166" i="24" s="1"/>
  <c r="AC1167" i="24" s="1"/>
  <c r="AC1168" i="24" s="1"/>
  <c r="AC1169" i="24" s="1"/>
  <c r="AC1170" i="24" s="1"/>
  <c r="AC1171" i="24" s="1"/>
  <c r="AC1172" i="24" s="1"/>
  <c r="AC1173" i="24" s="1"/>
  <c r="AC1174" i="24" s="1"/>
  <c r="AC1175" i="24" s="1"/>
  <c r="AC1176" i="24" s="1"/>
  <c r="AC1177" i="24" s="1"/>
  <c r="AC1178" i="24" s="1"/>
  <c r="AC1179" i="24" s="1"/>
  <c r="AC1180" i="24" s="1"/>
  <c r="AC1181" i="24" s="1"/>
  <c r="AC1182" i="24" s="1"/>
  <c r="AC1183" i="24" s="1"/>
  <c r="AC1184" i="24" s="1"/>
  <c r="AC1185" i="24" s="1"/>
  <c r="AC1186" i="24" s="1"/>
  <c r="AC1187" i="24" s="1"/>
  <c r="AC1188" i="24" s="1"/>
  <c r="AC1189" i="24" s="1"/>
  <c r="AC1190" i="24" s="1"/>
  <c r="AC1191" i="24" s="1"/>
  <c r="AC1192" i="24" s="1"/>
  <c r="AC1193" i="24" s="1"/>
  <c r="AC1194" i="24" s="1"/>
  <c r="AC1195" i="24" s="1"/>
  <c r="AC1196" i="24" s="1"/>
  <c r="AC1197" i="24" s="1"/>
  <c r="AC1198" i="24" s="1"/>
  <c r="AC1199" i="24" s="1"/>
  <c r="AC1200" i="24" s="1"/>
  <c r="AC1201" i="24" s="1"/>
  <c r="AC1202" i="24" s="1"/>
  <c r="AC1203" i="24" s="1"/>
  <c r="AC1204" i="24" s="1"/>
  <c r="AC1205" i="24" s="1"/>
  <c r="AC1206" i="24" s="1"/>
  <c r="AC1207" i="24" s="1"/>
  <c r="AC1208" i="24" s="1"/>
  <c r="AC1209" i="24" s="1"/>
  <c r="AC1210" i="24" s="1"/>
  <c r="AC1211" i="24" s="1"/>
  <c r="AC1212" i="24" s="1"/>
  <c r="AC1213" i="24" s="1"/>
  <c r="AC1214" i="24" s="1"/>
  <c r="AC1215" i="24" s="1"/>
  <c r="AC1216" i="24" s="1"/>
  <c r="AC1217" i="24" s="1"/>
  <c r="AC1218" i="24" s="1"/>
  <c r="AC1219" i="24" s="1"/>
  <c r="AC1220" i="24" s="1"/>
  <c r="AC1221" i="24" s="1"/>
  <c r="AC1222" i="24" s="1"/>
  <c r="AC1223" i="24" s="1"/>
  <c r="AC1224" i="24" s="1"/>
  <c r="AC1225" i="24" s="1"/>
  <c r="AC1226" i="24" s="1"/>
  <c r="AC1227" i="24" s="1"/>
  <c r="AC1228" i="24" s="1"/>
  <c r="AC1229" i="24" s="1"/>
  <c r="AC1230" i="24" s="1"/>
  <c r="AC1231" i="24" s="1"/>
  <c r="AC1232" i="24" s="1"/>
  <c r="AC1233" i="24" s="1"/>
  <c r="AC1234" i="24" s="1"/>
  <c r="AC1235" i="24" s="1"/>
  <c r="AC1236" i="24" s="1"/>
  <c r="AC1237" i="24" s="1"/>
  <c r="AC1238" i="24" s="1"/>
  <c r="AC1239" i="24" s="1"/>
  <c r="AC1240" i="24" s="1"/>
  <c r="AC1241" i="24" s="1"/>
  <c r="AC1242" i="24" s="1"/>
  <c r="AC1243" i="24" s="1"/>
  <c r="AC1244" i="24" s="1"/>
  <c r="AC1245" i="24" s="1"/>
  <c r="AC1246" i="24" s="1"/>
  <c r="AC1247" i="24" s="1"/>
  <c r="AC1248" i="24" s="1"/>
  <c r="AC1249" i="24" s="1"/>
  <c r="AC1250" i="24" s="1"/>
  <c r="AC1251" i="24" s="1"/>
  <c r="AC1252" i="24" s="1"/>
  <c r="AC1253" i="24" s="1"/>
  <c r="AC1254" i="24" s="1"/>
  <c r="AC1255" i="24" s="1"/>
  <c r="AC1256" i="24" s="1"/>
  <c r="AC1257" i="24" s="1"/>
  <c r="AC1258" i="24" s="1"/>
  <c r="AC1259" i="24" s="1"/>
  <c r="AC1260" i="24" s="1"/>
  <c r="AC1261" i="24" s="1"/>
  <c r="AC1262" i="24" s="1"/>
  <c r="AC1263" i="24" s="1"/>
  <c r="AC1264" i="24" s="1"/>
  <c r="AC1265" i="24" s="1"/>
  <c r="AC1266" i="24" s="1"/>
  <c r="AC1267" i="24" s="1"/>
  <c r="AC1268" i="24" s="1"/>
  <c r="AC1269" i="24" s="1"/>
  <c r="AC1270" i="24" s="1"/>
  <c r="AC1271" i="24" s="1"/>
  <c r="AC1272" i="24" s="1"/>
  <c r="AC1273" i="24" s="1"/>
  <c r="AC1274" i="24" s="1"/>
  <c r="AC1275" i="24" s="1"/>
  <c r="AC1276" i="24" s="1"/>
  <c r="AC1277" i="24" s="1"/>
  <c r="AC1278" i="24" s="1"/>
  <c r="AC1279" i="24" s="1"/>
  <c r="AC1280" i="24" s="1"/>
  <c r="AC1281" i="24" s="1"/>
  <c r="AC1282" i="24" s="1"/>
  <c r="AC1283" i="24" s="1"/>
  <c r="AC1284" i="24" s="1"/>
  <c r="AC1285" i="24" s="1"/>
  <c r="AC1286" i="24" s="1"/>
  <c r="AC1287" i="24" s="1"/>
  <c r="AC1288" i="24" s="1"/>
  <c r="AC1289" i="24" s="1"/>
  <c r="AC1290" i="24" s="1"/>
  <c r="AC1291" i="24" s="1"/>
  <c r="AC1292" i="24" s="1"/>
  <c r="AC1293" i="24" s="1"/>
  <c r="AC1294" i="24" s="1"/>
  <c r="AC1295" i="24" s="1"/>
  <c r="AC1296" i="24" s="1"/>
  <c r="AC1297" i="24" s="1"/>
  <c r="AC1298" i="24" s="1"/>
  <c r="AC1299" i="24" s="1"/>
  <c r="AC1300" i="24" s="1"/>
  <c r="AC1301" i="24" s="1"/>
  <c r="AC1302" i="24" s="1"/>
  <c r="AC1303" i="24" s="1"/>
  <c r="AC1304" i="24" s="1"/>
  <c r="AC1305" i="24" s="1"/>
  <c r="AC1306" i="24" s="1"/>
  <c r="AC1307" i="24" s="1"/>
  <c r="AC1308" i="24" s="1"/>
  <c r="AC1309" i="24" s="1"/>
  <c r="AC1310" i="24" s="1"/>
  <c r="AC1311" i="24" s="1"/>
  <c r="AC1312" i="24" s="1"/>
  <c r="AC1313" i="24" s="1"/>
  <c r="AC1314" i="24" s="1"/>
  <c r="AC1315" i="24" s="1"/>
  <c r="AC793" i="23"/>
  <c r="AC794" i="23" l="1"/>
  <c r="AC1316" i="24"/>
  <c r="AC795" i="23" l="1"/>
  <c r="AC1317" i="24"/>
  <c r="AC796" i="23" l="1"/>
  <c r="AC1318" i="24"/>
  <c r="AC1319" i="24" s="1"/>
  <c r="AC797" i="23" l="1"/>
  <c r="AC1321" i="24"/>
  <c r="AC1320" i="24"/>
  <c r="AC798" i="23" l="1"/>
  <c r="AC1322" i="24"/>
  <c r="AC1323" i="24" l="1"/>
  <c r="AC799" i="23"/>
  <c r="AC800" i="23" l="1"/>
  <c r="AC1324" i="24"/>
  <c r="AC1325" i="24" l="1"/>
  <c r="AC801" i="23"/>
  <c r="AC1326" i="24" l="1"/>
  <c r="AC802" i="23"/>
  <c r="AC803" i="23" s="1"/>
  <c r="AC804" i="23" s="1"/>
  <c r="AC805" i="23" s="1"/>
  <c r="AC806" i="23" s="1"/>
  <c r="AC807" i="23" s="1"/>
  <c r="AC808" i="23" s="1"/>
  <c r="AC809" i="23" s="1"/>
  <c r="AC810" i="23" s="1"/>
  <c r="AC811" i="23" s="1"/>
  <c r="AC812" i="23" s="1"/>
  <c r="AC813" i="23" s="1"/>
  <c r="AC814" i="23" s="1"/>
  <c r="AC815" i="23" s="1"/>
  <c r="AC816" i="23" s="1"/>
  <c r="AC817" i="23" s="1"/>
  <c r="AC818" i="23" s="1"/>
  <c r="AC819" i="23" s="1"/>
  <c r="AC820" i="23" s="1"/>
  <c r="AC821" i="23" s="1"/>
  <c r="AC822" i="23" s="1"/>
  <c r="AC823" i="23" s="1"/>
  <c r="AC824" i="23" s="1"/>
  <c r="AC825" i="23" s="1"/>
  <c r="AC826" i="23" s="1"/>
  <c r="AC827" i="23" s="1"/>
  <c r="AC828" i="23" s="1"/>
  <c r="AC829" i="23" s="1"/>
  <c r="AC830" i="23" s="1"/>
  <c r="AC831" i="23" s="1"/>
  <c r="AC832" i="23" s="1"/>
  <c r="AC833" i="23" s="1"/>
  <c r="AC834" i="23" s="1"/>
  <c r="AC835" i="23" s="1"/>
  <c r="AC836" i="23" s="1"/>
  <c r="AC837" i="23" s="1"/>
  <c r="AC838" i="23" s="1"/>
  <c r="AC839" i="23" s="1"/>
  <c r="AC840" i="23" s="1"/>
  <c r="AC841" i="23" s="1"/>
  <c r="AC842" i="23" s="1"/>
  <c r="AC843" i="23" s="1"/>
  <c r="AC844" i="23" s="1"/>
  <c r="AC845" i="23" s="1"/>
  <c r="AC846" i="23" s="1"/>
  <c r="AC847" i="23" s="1"/>
  <c r="AC848" i="23" s="1"/>
  <c r="AC849" i="23" s="1"/>
  <c r="AC850" i="23" s="1"/>
  <c r="AC851" i="23" s="1"/>
  <c r="AC852" i="23" s="1"/>
  <c r="AC853" i="23" s="1"/>
  <c r="AC854" i="23" s="1"/>
  <c r="AC855" i="23" s="1"/>
  <c r="AC856" i="23" s="1"/>
  <c r="AC857" i="23" s="1"/>
  <c r="AC858" i="23" s="1"/>
  <c r="AC859" i="23" s="1"/>
  <c r="AC860" i="23" s="1"/>
  <c r="AC861" i="23" s="1"/>
  <c r="AC862" i="23" s="1"/>
  <c r="AC863" i="23" s="1"/>
  <c r="AC864" i="23" s="1"/>
  <c r="AC865" i="23" s="1"/>
  <c r="AC866" i="23" s="1"/>
  <c r="AC867" i="23" s="1"/>
  <c r="AC868" i="23" s="1"/>
  <c r="AC869" i="23" s="1"/>
  <c r="AC870" i="23" s="1"/>
  <c r="AC871" i="23" s="1"/>
  <c r="AC872" i="23" s="1"/>
  <c r="AC873" i="23" s="1"/>
  <c r="AC874" i="23" s="1"/>
  <c r="AC875" i="23" s="1"/>
  <c r="AC876" i="23" s="1"/>
  <c r="AC877" i="23" s="1"/>
  <c r="AC878" i="23" s="1"/>
  <c r="AC879" i="23" s="1"/>
  <c r="AC880" i="23" s="1"/>
  <c r="AC881" i="23" s="1"/>
  <c r="AC882" i="23" s="1"/>
  <c r="AC883" i="23" s="1"/>
  <c r="AC884" i="23" s="1"/>
  <c r="AC885" i="23" s="1"/>
  <c r="AC886" i="23" s="1"/>
  <c r="AC887" i="23" s="1"/>
  <c r="AC888" i="23" s="1"/>
  <c r="AC889" i="23" s="1"/>
  <c r="AC890" i="23" s="1"/>
  <c r="AC891" i="23" s="1"/>
  <c r="AC892" i="23" s="1"/>
  <c r="AC893" i="23" s="1"/>
  <c r="AC894" i="23" s="1"/>
  <c r="AC895" i="23" s="1"/>
  <c r="AC896" i="23" s="1"/>
  <c r="AC897" i="23" s="1"/>
  <c r="AC898" i="23" s="1"/>
  <c r="AC899" i="23" s="1"/>
  <c r="AC900" i="23" s="1"/>
  <c r="AC901" i="23" s="1"/>
  <c r="AC902" i="23" s="1"/>
  <c r="AC903" i="23" s="1"/>
  <c r="AC904" i="23" s="1"/>
  <c r="AC905" i="23" s="1"/>
  <c r="AC906" i="23" s="1"/>
  <c r="AC907" i="23" s="1"/>
  <c r="AC908" i="23" s="1"/>
  <c r="AC909" i="23" s="1"/>
  <c r="AC910" i="23" s="1"/>
  <c r="AC911" i="23" s="1"/>
  <c r="AC912" i="23" s="1"/>
  <c r="AC913" i="23" s="1"/>
  <c r="AC914" i="23" s="1"/>
  <c r="AC915" i="23" s="1"/>
  <c r="AC916" i="23" s="1"/>
  <c r="AC917" i="23" s="1"/>
  <c r="AC918" i="23" s="1"/>
  <c r="AC919" i="23" s="1"/>
  <c r="AC920" i="23" s="1"/>
  <c r="AC921" i="23" s="1"/>
  <c r="AC922" i="23" s="1"/>
  <c r="AC923" i="23" s="1"/>
  <c r="AC924" i="23" s="1"/>
  <c r="AC925" i="23" s="1"/>
  <c r="AC926" i="23" s="1"/>
  <c r="AC927" i="23" s="1"/>
  <c r="AC928" i="23" s="1"/>
  <c r="AC929" i="23" s="1"/>
  <c r="AC930" i="23" s="1"/>
  <c r="AC931" i="23" s="1"/>
  <c r="AC932" i="23" s="1"/>
  <c r="AC933" i="23" s="1"/>
  <c r="AC934" i="23" s="1"/>
  <c r="AC935" i="23" s="1"/>
  <c r="AC936" i="23" s="1"/>
  <c r="AC937" i="23" s="1"/>
  <c r="AC938" i="23" s="1"/>
  <c r="AC939" i="23" s="1"/>
  <c r="AC940" i="23" s="1"/>
  <c r="AC941" i="23" s="1"/>
  <c r="AC942" i="23" s="1"/>
  <c r="AC943" i="23" s="1"/>
  <c r="AC944" i="23" s="1"/>
  <c r="AC945" i="23" s="1"/>
  <c r="AC946" i="23" s="1"/>
  <c r="AC947" i="23" s="1"/>
  <c r="AC948" i="23" s="1"/>
  <c r="AC949" i="23" s="1"/>
  <c r="AC950" i="23" s="1"/>
  <c r="AC951" i="23" s="1"/>
  <c r="AC952" i="23" s="1"/>
  <c r="AC953" i="23" s="1"/>
  <c r="AC954" i="23" s="1"/>
  <c r="AC955" i="23" s="1"/>
  <c r="AC956" i="23" s="1"/>
  <c r="AC957" i="23" s="1"/>
  <c r="AC958" i="23" s="1"/>
  <c r="AC959" i="23" s="1"/>
  <c r="AC960" i="23" s="1"/>
  <c r="AC961" i="23" s="1"/>
  <c r="AC962" i="23" s="1"/>
  <c r="AC963" i="23" s="1"/>
  <c r="AC964" i="23" s="1"/>
  <c r="AC965" i="23" s="1"/>
  <c r="AC966" i="23" s="1"/>
  <c r="AC967" i="23" s="1"/>
  <c r="AC968" i="23" s="1"/>
  <c r="AC969" i="23" s="1"/>
  <c r="AC970" i="23" s="1"/>
  <c r="AC971" i="23" s="1"/>
  <c r="AC972" i="23" s="1"/>
  <c r="AC973" i="23" s="1"/>
  <c r="AC974" i="23" s="1"/>
  <c r="AC975" i="23" s="1"/>
  <c r="AC976" i="23" s="1"/>
  <c r="AC977" i="23" s="1"/>
  <c r="AC978" i="23" s="1"/>
  <c r="AC979" i="23" s="1"/>
  <c r="AC980" i="23" s="1"/>
  <c r="AC981" i="23" s="1"/>
  <c r="AC982" i="23" s="1"/>
  <c r="AC983" i="23" s="1"/>
  <c r="AC984" i="23" s="1"/>
  <c r="AC985" i="23" s="1"/>
  <c r="AC986" i="23" s="1"/>
  <c r="AC987" i="23" s="1"/>
  <c r="AC988" i="23" s="1"/>
  <c r="AC989" i="23" s="1"/>
  <c r="AC990" i="23" s="1"/>
  <c r="AC991" i="23" s="1"/>
  <c r="AC992" i="23" s="1"/>
  <c r="AC993" i="23" s="1"/>
  <c r="AC994" i="23" s="1"/>
  <c r="AC995" i="23" s="1"/>
  <c r="AC996" i="23" s="1"/>
  <c r="AC997" i="23" s="1"/>
  <c r="AC998" i="23" s="1"/>
  <c r="AC999" i="23" s="1"/>
  <c r="AC1000" i="23" s="1"/>
  <c r="AC1001" i="23" s="1"/>
  <c r="AC1002" i="23" s="1"/>
  <c r="AC1003" i="23" s="1"/>
  <c r="AC1004" i="23" s="1"/>
  <c r="AC1005" i="23" s="1"/>
  <c r="AC1006" i="23" s="1"/>
  <c r="AC1007" i="23" s="1"/>
  <c r="AC1008" i="23" s="1"/>
  <c r="AC1009" i="23" s="1"/>
  <c r="AC1010" i="23" s="1"/>
  <c r="AC1011" i="23" s="1"/>
  <c r="AC1012" i="23" s="1"/>
  <c r="AC1013" i="23" s="1"/>
  <c r="AC1014" i="23" s="1"/>
  <c r="AC1015" i="23" s="1"/>
  <c r="AC1016" i="23" s="1"/>
  <c r="AC1017" i="23" s="1"/>
  <c r="AC1018" i="23" s="1"/>
  <c r="AC1019" i="23" s="1"/>
  <c r="AC1020" i="23" s="1"/>
  <c r="AC1327" i="24" l="1"/>
  <c r="AC1021" i="23"/>
  <c r="AC1022" i="23" l="1"/>
  <c r="AC1328" i="24"/>
  <c r="AC1329" i="24" l="1"/>
  <c r="AC1023" i="23"/>
  <c r="AC1024" i="23" l="1"/>
  <c r="AC1330" i="24"/>
  <c r="AC1331" i="24" l="1"/>
  <c r="AC1025" i="23"/>
  <c r="AC1026" i="23" l="1"/>
  <c r="AC1332" i="24"/>
  <c r="AC1333" i="24" l="1"/>
  <c r="AC1027" i="23"/>
  <c r="AC1028" i="23" l="1"/>
  <c r="AC1334" i="24"/>
  <c r="AC1335" i="24" l="1"/>
  <c r="AC1029" i="23"/>
  <c r="AC1030" i="23" l="1"/>
  <c r="AC1336" i="24"/>
  <c r="AC1337" i="24" l="1"/>
  <c r="AC1031" i="23"/>
  <c r="AC1032" i="23" l="1"/>
  <c r="AC1338" i="24"/>
  <c r="AC1339" i="24" l="1"/>
  <c r="AC1340" i="24" s="1"/>
  <c r="AC1341" i="24" s="1"/>
  <c r="AC1342" i="24" s="1"/>
  <c r="AC1343" i="24" s="1"/>
  <c r="AC1344" i="24" s="1"/>
  <c r="AC1345" i="24" s="1"/>
  <c r="AC1346" i="24" s="1"/>
  <c r="AC1347" i="24" s="1"/>
  <c r="AC1348" i="24" s="1"/>
  <c r="AC1349" i="24" s="1"/>
  <c r="AC1350" i="24" s="1"/>
  <c r="AC1351" i="24" s="1"/>
  <c r="AC1352" i="24" s="1"/>
  <c r="AC1353" i="24" s="1"/>
  <c r="AC1354" i="24" s="1"/>
  <c r="AC1355" i="24" s="1"/>
  <c r="AC1356" i="24" s="1"/>
  <c r="AC1357" i="24" s="1"/>
  <c r="AC1358" i="24" s="1"/>
  <c r="AC1359" i="24" s="1"/>
  <c r="AC1360" i="24" s="1"/>
  <c r="AC1361" i="24" s="1"/>
  <c r="AC1362" i="24" s="1"/>
  <c r="AC1363" i="24" s="1"/>
  <c r="AC1364" i="24" s="1"/>
  <c r="AC1365" i="24" s="1"/>
  <c r="AC1366" i="24" s="1"/>
  <c r="AC1367" i="24" s="1"/>
  <c r="AC1368" i="24" s="1"/>
  <c r="AC1369" i="24" s="1"/>
  <c r="AC1370" i="24" s="1"/>
  <c r="AC1371" i="24" s="1"/>
  <c r="AC1372" i="24" s="1"/>
  <c r="AC1373" i="24" s="1"/>
  <c r="AC1374" i="24" s="1"/>
  <c r="AC1375" i="24" s="1"/>
  <c r="AC1376" i="24" s="1"/>
  <c r="AC1377" i="24" s="1"/>
  <c r="AC1378" i="24" s="1"/>
  <c r="AC1379" i="24" s="1"/>
  <c r="AC1380" i="24" s="1"/>
  <c r="AC1381" i="24" s="1"/>
  <c r="AC1382" i="24" s="1"/>
  <c r="AC1383" i="24" s="1"/>
  <c r="AC1384" i="24" s="1"/>
  <c r="AC1385" i="24" s="1"/>
  <c r="AC1386" i="24" s="1"/>
  <c r="AC1387" i="24" s="1"/>
  <c r="AC1388" i="24" s="1"/>
  <c r="AC1389" i="24" s="1"/>
  <c r="AC1390" i="24" s="1"/>
  <c r="AC1391" i="24" s="1"/>
  <c r="AC1392" i="24" s="1"/>
  <c r="AC1393" i="24" s="1"/>
  <c r="AC1394" i="24" s="1"/>
  <c r="AC1395" i="24" s="1"/>
  <c r="AC1396" i="24" s="1"/>
  <c r="AC1397" i="24" s="1"/>
  <c r="AC1398" i="24" s="1"/>
  <c r="AC1399" i="24" s="1"/>
  <c r="AC1400" i="24" s="1"/>
  <c r="AC1401" i="24" s="1"/>
  <c r="AC1402" i="24" s="1"/>
  <c r="AC1403" i="24" s="1"/>
  <c r="AC1404" i="24" s="1"/>
  <c r="AC1405" i="24" s="1"/>
  <c r="AC1406" i="24" s="1"/>
  <c r="AC1407" i="24" s="1"/>
  <c r="AC1408" i="24" s="1"/>
  <c r="AC1409" i="24" s="1"/>
  <c r="AC1410" i="24" s="1"/>
  <c r="AC1411" i="24" s="1"/>
  <c r="AC1412" i="24" s="1"/>
  <c r="AC1413" i="24" s="1"/>
  <c r="AC1414" i="24" s="1"/>
  <c r="AC1415" i="24" s="1"/>
  <c r="AC1416" i="24" s="1"/>
  <c r="AC1417" i="24" s="1"/>
  <c r="AC1418" i="24" s="1"/>
  <c r="AC1419" i="24" s="1"/>
  <c r="AC1420" i="24" s="1"/>
  <c r="AC1421" i="24" s="1"/>
  <c r="AC1422" i="24" s="1"/>
  <c r="AC1423" i="24" s="1"/>
  <c r="AC1424" i="24" s="1"/>
  <c r="AC1425" i="24" s="1"/>
  <c r="AC1426" i="24" s="1"/>
  <c r="AC1427" i="24" s="1"/>
  <c r="AC1428" i="24" s="1"/>
  <c r="AC1429" i="24" s="1"/>
  <c r="AC1430" i="24" s="1"/>
  <c r="AC1431" i="24" s="1"/>
  <c r="AC1432" i="24" s="1"/>
  <c r="AC1433" i="24" s="1"/>
  <c r="AC1434" i="24" s="1"/>
  <c r="AC1435" i="24" s="1"/>
  <c r="AC1436" i="24" s="1"/>
  <c r="AC1437" i="24" s="1"/>
  <c r="AC1438" i="24" s="1"/>
  <c r="AC1439" i="24" s="1"/>
  <c r="AC1440" i="24" s="1"/>
  <c r="AC1441" i="24" s="1"/>
  <c r="AC1442" i="24" s="1"/>
  <c r="AC1443" i="24" s="1"/>
  <c r="AC1444" i="24" s="1"/>
  <c r="AC1445" i="24" s="1"/>
  <c r="AC1446" i="24" s="1"/>
  <c r="AC1447" i="24" s="1"/>
  <c r="AC1448" i="24" s="1"/>
  <c r="AC1449" i="24" s="1"/>
  <c r="AC1450" i="24" s="1"/>
  <c r="AC1451" i="24" s="1"/>
  <c r="AC1452" i="24" s="1"/>
  <c r="AC1453" i="24" s="1"/>
  <c r="AC1454" i="24" s="1"/>
  <c r="AC1455" i="24" s="1"/>
  <c r="AC1456" i="24" s="1"/>
  <c r="AC1457" i="24" s="1"/>
  <c r="AC1458" i="24" s="1"/>
  <c r="AC1459" i="24" s="1"/>
  <c r="AC1460" i="24" s="1"/>
  <c r="AC1461" i="24" s="1"/>
  <c r="AC1462" i="24" s="1"/>
  <c r="AC1463" i="24" s="1"/>
  <c r="AC1464" i="24" s="1"/>
  <c r="AC1465" i="24" s="1"/>
  <c r="AC1466" i="24" s="1"/>
  <c r="AC1467" i="24" s="1"/>
  <c r="AC1468" i="24" s="1"/>
  <c r="AC1469" i="24" s="1"/>
  <c r="AC1470" i="24" s="1"/>
  <c r="AC1471" i="24" s="1"/>
  <c r="AC1033" i="23"/>
  <c r="AC1472" i="24" l="1"/>
  <c r="AC1473" i="24" s="1"/>
  <c r="AC1034" i="23"/>
  <c r="AC1474" i="24" l="1"/>
  <c r="AC1035" i="23"/>
  <c r="AC1036" i="23" l="1"/>
  <c r="AC1475" i="24"/>
  <c r="AC1038" i="23" l="1"/>
  <c r="AC1039" i="23" s="1"/>
  <c r="AC1040" i="23" s="1"/>
  <c r="AC1041" i="23" s="1"/>
  <c r="AC1042" i="23" s="1"/>
  <c r="AC1043" i="23" s="1"/>
  <c r="AC1044" i="23" s="1"/>
  <c r="AC1045" i="23" s="1"/>
  <c r="AC1046" i="23" s="1"/>
  <c r="AC1047" i="23" s="1"/>
  <c r="AC1048" i="23" s="1"/>
  <c r="AC1049" i="23" s="1"/>
  <c r="AC1050" i="23" s="1"/>
  <c r="AC1051" i="23" s="1"/>
  <c r="AC1052" i="23" s="1"/>
  <c r="AC1053" i="23" s="1"/>
  <c r="AC1054" i="23" s="1"/>
  <c r="AC1055" i="23" s="1"/>
  <c r="AC1056" i="23" s="1"/>
  <c r="AC1057" i="23" s="1"/>
  <c r="AC1058" i="23" s="1"/>
  <c r="AC1059" i="23" s="1"/>
  <c r="AC1060" i="23" s="1"/>
  <c r="AC1061" i="23" s="1"/>
  <c r="AC1062" i="23" s="1"/>
  <c r="AC1063" i="23" s="1"/>
  <c r="AC1064" i="23" s="1"/>
  <c r="AC1065" i="23" s="1"/>
  <c r="AC1066" i="23" s="1"/>
  <c r="AC1067" i="23" s="1"/>
  <c r="AC1068" i="23" s="1"/>
  <c r="AC1069" i="23" s="1"/>
  <c r="AC1070" i="23" s="1"/>
  <c r="AC1071" i="23" s="1"/>
  <c r="AC1072" i="23" s="1"/>
  <c r="AC1073" i="23" s="1"/>
  <c r="AC1074" i="23" s="1"/>
  <c r="AC1075" i="23" s="1"/>
  <c r="AC1076" i="23" s="1"/>
  <c r="AC1077" i="23" s="1"/>
  <c r="AC1078" i="23" s="1"/>
  <c r="AC1079" i="23" s="1"/>
  <c r="AC1080" i="23" s="1"/>
  <c r="AC1081" i="23" s="1"/>
  <c r="AC1082" i="23" s="1"/>
  <c r="AC1083" i="23" s="1"/>
  <c r="AC1084" i="23" s="1"/>
  <c r="AC1085" i="23" s="1"/>
  <c r="AC1086" i="23" s="1"/>
  <c r="AC1087" i="23" s="1"/>
  <c r="AC1088" i="23" s="1"/>
  <c r="AC1089" i="23" s="1"/>
  <c r="AC1090" i="23" s="1"/>
  <c r="AC1091" i="23" s="1"/>
  <c r="AC1092" i="23" s="1"/>
  <c r="AC1093" i="23" s="1"/>
  <c r="AC1094" i="23" s="1"/>
  <c r="AC1095" i="23" s="1"/>
  <c r="AC1096" i="23" s="1"/>
  <c r="AC1097" i="23" s="1"/>
  <c r="AC1098" i="23" s="1"/>
  <c r="AC1099" i="23" s="1"/>
  <c r="AC1100" i="23" s="1"/>
  <c r="AC1101" i="23" s="1"/>
  <c r="AC1102" i="23" s="1"/>
  <c r="AC1103" i="23" s="1"/>
  <c r="AC1104" i="23" s="1"/>
  <c r="AC1105" i="23" s="1"/>
  <c r="AC1106" i="23" s="1"/>
  <c r="AC1107" i="23" s="1"/>
  <c r="AC1108" i="23" s="1"/>
  <c r="AC1109" i="23" s="1"/>
  <c r="AC1110" i="23" s="1"/>
  <c r="AC1111" i="23" s="1"/>
  <c r="AC1112" i="23" s="1"/>
  <c r="AC1113" i="23" s="1"/>
  <c r="AC1114" i="23" s="1"/>
  <c r="AC1115" i="23" s="1"/>
  <c r="AC1116" i="23" s="1"/>
  <c r="AC1117" i="23" s="1"/>
  <c r="AC1118" i="23" s="1"/>
  <c r="AC1119" i="23" s="1"/>
  <c r="AC1120" i="23" s="1"/>
  <c r="AC1121" i="23" s="1"/>
  <c r="AC1122" i="23" s="1"/>
  <c r="AC1123" i="23" s="1"/>
  <c r="AC1124" i="23" s="1"/>
  <c r="AC1037" i="23"/>
  <c r="AC1476" i="24"/>
  <c r="AC1477" i="24"/>
  <c r="AC1478" i="24" l="1"/>
  <c r="AC1479" i="24"/>
  <c r="AC1480" i="24" s="1"/>
  <c r="AC1125" i="23"/>
  <c r="AC1126" i="23" s="1"/>
  <c r="AC1127" i="23" s="1"/>
  <c r="AC1128" i="23" s="1"/>
  <c r="AC1481" i="24" l="1"/>
  <c r="AC1129" i="23"/>
  <c r="AC1482" i="24"/>
  <c r="AC1130" i="23" l="1"/>
  <c r="AC1483" i="24"/>
  <c r="AC1181" i="23"/>
  <c r="AC1182" i="23" s="1"/>
  <c r="AC1183" i="23" s="1"/>
  <c r="AC1184" i="23" s="1"/>
  <c r="AC1185" i="23" s="1"/>
  <c r="AC1186" i="23" s="1"/>
  <c r="AC1187" i="23" s="1"/>
  <c r="AC1131" i="23" l="1"/>
  <c r="AC1203" i="23"/>
  <c r="AC1204" i="23" s="1"/>
  <c r="AC1205" i="23" s="1"/>
  <c r="AC1206" i="23" s="1"/>
  <c r="AC1207" i="23" s="1"/>
  <c r="AC1208" i="23" s="1"/>
  <c r="AC1209" i="23" s="1"/>
  <c r="AC1210" i="23" s="1"/>
  <c r="AC1211" i="23" s="1"/>
  <c r="AC1212" i="23" s="1"/>
  <c r="AC1213" i="23" s="1"/>
  <c r="AC1214" i="23" s="1"/>
  <c r="AC1215" i="23" s="1"/>
  <c r="AC1216" i="23" s="1"/>
  <c r="AC1217" i="23" s="1"/>
  <c r="AC1484" i="24"/>
  <c r="AC1132" i="23" l="1"/>
  <c r="AC1220" i="23"/>
  <c r="AC1221" i="23" s="1"/>
  <c r="AC1222" i="23" s="1"/>
  <c r="AC1218" i="23"/>
  <c r="AC1219" i="23" s="1"/>
  <c r="AC1485" i="24"/>
  <c r="AC1486" i="24"/>
  <c r="AC1487" i="24"/>
  <c r="AC1488" i="24"/>
  <c r="AC1133" i="23" l="1"/>
  <c r="AC1316" i="23"/>
  <c r="AC1317" i="23" s="1"/>
  <c r="AC1318" i="23" s="1"/>
  <c r="AC1319" i="23" s="1"/>
  <c r="AC1489" i="24"/>
  <c r="AC1134" i="23" l="1"/>
  <c r="AC1320" i="23"/>
  <c r="AC1321" i="23" s="1"/>
  <c r="AC1490" i="24"/>
  <c r="AC1135" i="23" l="1"/>
  <c r="AC1322" i="23"/>
  <c r="AC1323" i="23" s="1"/>
  <c r="AC1324" i="23" s="1"/>
  <c r="AC1491" i="24"/>
  <c r="AC1136" i="23" l="1"/>
  <c r="AC1325" i="23"/>
  <c r="AC1326" i="23" s="1"/>
  <c r="AC1492" i="24"/>
  <c r="AC1137" i="23" l="1"/>
  <c r="AC1327" i="23"/>
  <c r="AC1328" i="23" s="1"/>
  <c r="AC1329" i="23" s="1"/>
  <c r="AC1330" i="23" s="1"/>
  <c r="AC1331" i="23" s="1"/>
  <c r="AC1332" i="23" s="1"/>
  <c r="AC1333" i="23" s="1"/>
  <c r="AC1334" i="23" s="1"/>
  <c r="AC1335" i="23" s="1"/>
  <c r="AC1336" i="23" s="1"/>
  <c r="AC1337" i="23" s="1"/>
  <c r="AC1338" i="23" s="1"/>
  <c r="AC1339" i="23" s="1"/>
  <c r="AC1340" i="23" s="1"/>
  <c r="AC1341" i="23" s="1"/>
  <c r="AC1342" i="23" s="1"/>
  <c r="AC1343" i="23" s="1"/>
  <c r="AC1344" i="23" s="1"/>
  <c r="AC1493" i="24"/>
  <c r="AC1138" i="23" l="1"/>
  <c r="AC1485" i="23"/>
  <c r="AC1486" i="23" s="1"/>
  <c r="AC1487" i="23" s="1"/>
  <c r="AC1488" i="23" s="1"/>
  <c r="AC1489" i="23" s="1"/>
  <c r="AC1490" i="23" s="1"/>
  <c r="AC1491" i="23" s="1"/>
  <c r="AC1492" i="23" s="1"/>
  <c r="AC1493" i="23" s="1"/>
  <c r="AC1494" i="23" s="1"/>
  <c r="AC1495" i="23" s="1"/>
  <c r="AC1496" i="23" s="1"/>
  <c r="AC1497" i="23" s="1"/>
  <c r="AC1498" i="23" s="1"/>
  <c r="AC1499" i="23" s="1"/>
  <c r="AC1500" i="23" s="1"/>
  <c r="AC1501" i="23" s="1"/>
  <c r="AC1502" i="23" s="1"/>
  <c r="AC1503" i="23" s="1"/>
  <c r="AC1504" i="23" s="1"/>
  <c r="AC1505" i="23" s="1"/>
  <c r="AC1494" i="24"/>
  <c r="AC1139" i="23" l="1"/>
  <c r="AC1495" i="24"/>
  <c r="AC1140" i="23" l="1"/>
  <c r="AC1543" i="23"/>
  <c r="AC1544" i="23" s="1"/>
  <c r="AC1496" i="24"/>
  <c r="AC1497" i="24" s="1"/>
  <c r="AC1498" i="24" s="1"/>
  <c r="AC1499" i="24" s="1"/>
  <c r="AC1500" i="24" s="1"/>
  <c r="AC1501" i="24" s="1"/>
  <c r="AC1502" i="24" s="1"/>
  <c r="AC1503" i="24" s="1"/>
  <c r="AC1504" i="24" s="1"/>
  <c r="AC1505" i="24" s="1"/>
  <c r="AC1506" i="24" s="1"/>
  <c r="AC1507" i="24" s="1"/>
  <c r="AC1508" i="24" s="1"/>
  <c r="AC1509" i="24" s="1"/>
  <c r="AC1510" i="24" s="1"/>
  <c r="AC1511" i="24" s="1"/>
  <c r="AC1512" i="24" s="1"/>
  <c r="AC1513" i="24" s="1"/>
  <c r="AC1514" i="24" s="1"/>
  <c r="AC1515" i="24" s="1"/>
  <c r="AC1516" i="24" s="1"/>
  <c r="AC1517" i="24" s="1"/>
  <c r="AC1518" i="24" s="1"/>
  <c r="AC1519" i="24" s="1"/>
  <c r="AC1520" i="24" s="1"/>
  <c r="AC1521" i="24" s="1"/>
  <c r="AC1522" i="24" s="1"/>
  <c r="AC1523" i="24" s="1"/>
  <c r="AC1524" i="24" s="1"/>
  <c r="AC1525" i="24" s="1"/>
  <c r="AC1526" i="24" s="1"/>
  <c r="AC1527" i="24" s="1"/>
  <c r="AC1528" i="24" s="1"/>
  <c r="AC1529" i="24" s="1"/>
  <c r="AC1530" i="24" s="1"/>
  <c r="AC1531" i="24" s="1"/>
  <c r="AC1532" i="24" s="1"/>
  <c r="AC1533" i="24" s="1"/>
  <c r="AC1534" i="24" s="1"/>
  <c r="AC1535" i="24" s="1"/>
  <c r="AC1536" i="24" s="1"/>
  <c r="AC1537" i="24" s="1"/>
  <c r="AC1538" i="24" s="1"/>
  <c r="AC1539" i="24" s="1"/>
  <c r="AC1540" i="24" s="1"/>
  <c r="AC1541" i="24" s="1"/>
  <c r="AC1542" i="24" s="1"/>
  <c r="AC1141" i="23" l="1"/>
  <c r="AC1545" i="23"/>
  <c r="AC1546" i="23" s="1"/>
  <c r="AC1547" i="23" s="1"/>
  <c r="AC1548" i="23" s="1"/>
  <c r="AC1549" i="23" s="1"/>
  <c r="AC1550" i="23" s="1"/>
  <c r="AC1551" i="23" s="1"/>
  <c r="AC1552" i="23" s="1"/>
  <c r="AC1553" i="23" s="1"/>
  <c r="AC1554" i="23" s="1"/>
  <c r="AC1555" i="23" s="1"/>
  <c r="AC1556" i="23" s="1"/>
  <c r="AC1557" i="23" s="1"/>
  <c r="AC1544" i="24"/>
  <c r="AC1543" i="24"/>
  <c r="AC1142" i="23" l="1"/>
  <c r="AC1559" i="23"/>
  <c r="AC1560" i="23" s="1"/>
  <c r="AC1561" i="23" s="1"/>
  <c r="AC1562" i="23" s="1"/>
  <c r="AC1563" i="23" s="1"/>
  <c r="AC1564" i="23" s="1"/>
  <c r="AC1565" i="23" s="1"/>
  <c r="AC1566" i="23" s="1"/>
  <c r="AC1567" i="23" s="1"/>
  <c r="AC1568" i="23" s="1"/>
  <c r="AC1558" i="23"/>
  <c r="AC1545" i="24"/>
  <c r="AC1143" i="23" l="1"/>
  <c r="AC1144" i="23" s="1"/>
  <c r="AC1145" i="23" s="1"/>
  <c r="AC1146" i="23" s="1"/>
  <c r="AC1147" i="23" s="1"/>
  <c r="AC1148" i="23" s="1"/>
  <c r="AC1149" i="23" s="1"/>
  <c r="AC1150" i="23" s="1"/>
  <c r="AC1151" i="23" s="1"/>
  <c r="AC1152" i="23" s="1"/>
  <c r="AC1153" i="23" s="1"/>
  <c r="AC1154" i="23" s="1"/>
  <c r="AC1155" i="23" s="1"/>
  <c r="AC1156" i="23" s="1"/>
  <c r="AC1157" i="23" s="1"/>
  <c r="AC1158" i="23" s="1"/>
  <c r="AC1159" i="23" s="1"/>
  <c r="AC1160" i="23" s="1"/>
  <c r="AC1161" i="23" s="1"/>
  <c r="AC1162" i="23" s="1"/>
  <c r="AC1163" i="23" s="1"/>
  <c r="AC1164" i="23" s="1"/>
  <c r="AC1165" i="23" s="1"/>
  <c r="AC1166" i="23" s="1"/>
  <c r="AC1167" i="23" s="1"/>
  <c r="AC1168" i="23" s="1"/>
  <c r="AC1169" i="23" s="1"/>
  <c r="AC1170" i="23" s="1"/>
  <c r="AC1171" i="23" s="1"/>
  <c r="AC1172" i="23" s="1"/>
  <c r="AC1173" i="23" s="1"/>
  <c r="AC1174" i="23" s="1"/>
  <c r="AC1175" i="23" s="1"/>
  <c r="AC1176" i="23" s="1"/>
  <c r="AC1177" i="23" s="1"/>
  <c r="AC1178" i="23" s="1"/>
  <c r="AC1179" i="23" s="1"/>
  <c r="AC1180" i="23" s="1"/>
  <c r="AC1241" i="23"/>
  <c r="AC1242" i="23" s="1"/>
  <c r="AC1243" i="23" s="1"/>
  <c r="AC1244" i="23" s="1"/>
  <c r="AC1245" i="23" s="1"/>
  <c r="AC1246" i="23" s="1"/>
  <c r="AC1247" i="23" s="1"/>
  <c r="AC1248" i="23" s="1"/>
  <c r="AC1249" i="23" s="1"/>
  <c r="AC1250" i="23" s="1"/>
  <c r="AC1251" i="23" s="1"/>
  <c r="AC1252" i="23" s="1"/>
  <c r="AC1253" i="23" s="1"/>
  <c r="AC1254" i="23" s="1"/>
  <c r="AC1255" i="23" s="1"/>
  <c r="AC1256" i="23" s="1"/>
  <c r="AC1257" i="23" s="1"/>
  <c r="AC1258" i="23" s="1"/>
  <c r="AC1259" i="23" s="1"/>
  <c r="AC1260" i="23" s="1"/>
  <c r="AC1261" i="23" s="1"/>
  <c r="AC1262" i="23" s="1"/>
  <c r="AC1661" i="23"/>
  <c r="AC1662" i="23" s="1"/>
  <c r="AC1546" i="24"/>
  <c r="AC1547" i="24" s="1"/>
  <c r="AC1548" i="24" s="1"/>
  <c r="AC1549" i="24" s="1"/>
  <c r="AC1550" i="24" s="1"/>
  <c r="AC1551" i="24" s="1"/>
  <c r="AC1552" i="24" s="1"/>
  <c r="AC1553" i="24" s="1"/>
  <c r="AC1554" i="24" s="1"/>
  <c r="AC1555" i="24" s="1"/>
  <c r="AC1556" i="24" s="1"/>
  <c r="AC1557" i="24" s="1"/>
  <c r="AC1188" i="23" l="1"/>
  <c r="AC1189" i="23" s="1"/>
  <c r="AC1190" i="23" s="1"/>
  <c r="AC1191" i="23" s="1"/>
  <c r="AC1192" i="23" s="1"/>
  <c r="AC1193" i="23" s="1"/>
  <c r="AC1194" i="23" s="1"/>
  <c r="AC1195" i="23" s="1"/>
  <c r="AC1196" i="23" s="1"/>
  <c r="AC1197" i="23" s="1"/>
  <c r="AC1198" i="23" s="1"/>
  <c r="AC1199" i="23" s="1"/>
  <c r="AC1200" i="23" s="1"/>
  <c r="AC1201" i="23" s="1"/>
  <c r="AC1202" i="23" s="1"/>
  <c r="AC1223" i="23" s="1"/>
  <c r="AC1224" i="23" s="1"/>
  <c r="AC1225" i="23" s="1"/>
  <c r="AC1226" i="23" s="1"/>
  <c r="AC1227" i="23" s="1"/>
  <c r="AC1228" i="23" s="1"/>
  <c r="AC1229" i="23" s="1"/>
  <c r="AC1230" i="23" s="1"/>
  <c r="AC1231" i="23" s="1"/>
  <c r="AC1232" i="23" s="1"/>
  <c r="AC1233" i="23" s="1"/>
  <c r="AC1234" i="23" s="1"/>
  <c r="AC1235" i="23" s="1"/>
  <c r="AC1236" i="23" s="1"/>
  <c r="AC1345" i="23"/>
  <c r="AC1346" i="23" s="1"/>
  <c r="AC1347" i="23" s="1"/>
  <c r="AC1348" i="23" s="1"/>
  <c r="AC1349" i="23" s="1"/>
  <c r="AC1350" i="23" s="1"/>
  <c r="AC1351" i="23" s="1"/>
  <c r="AC1352" i="23" s="1"/>
  <c r="AC1353" i="23" s="1"/>
  <c r="AC1354" i="23" s="1"/>
  <c r="AC1355" i="23" s="1"/>
  <c r="AC1356" i="23" s="1"/>
  <c r="AC1357" i="23" s="1"/>
  <c r="AC1358" i="23" s="1"/>
  <c r="AC1359" i="23" s="1"/>
  <c r="AC1360" i="23" s="1"/>
  <c r="AC1361" i="23" s="1"/>
  <c r="AC1362" i="23" s="1"/>
  <c r="AC1363" i="23" s="1"/>
  <c r="AC1525" i="23"/>
  <c r="AC1526" i="23" s="1"/>
  <c r="AC1527" i="23" s="1"/>
  <c r="AC1559" i="24"/>
  <c r="AC1560" i="24" s="1"/>
  <c r="AC1561" i="24" s="1"/>
  <c r="AC1562" i="24" s="1"/>
  <c r="AC1563" i="24" s="1"/>
  <c r="AC1564" i="24" s="1"/>
  <c r="AC1565" i="24" s="1"/>
  <c r="AC1566" i="24" s="1"/>
  <c r="AC1567" i="24" s="1"/>
  <c r="AC1568" i="24" s="1"/>
  <c r="AC1569" i="24" s="1"/>
  <c r="AC1570" i="24" s="1"/>
  <c r="AC1571" i="24" s="1"/>
  <c r="AC1572" i="24" s="1"/>
  <c r="AC1573" i="24" s="1"/>
  <c r="AC1574" i="24" s="1"/>
  <c r="AC1575" i="24" s="1"/>
  <c r="AC1576" i="24" s="1"/>
  <c r="AC1577" i="24" s="1"/>
  <c r="AC1578" i="24" s="1"/>
  <c r="AC1579" i="24" s="1"/>
  <c r="AC1580" i="24" s="1"/>
  <c r="AC1581" i="24" s="1"/>
  <c r="AC1582" i="24" s="1"/>
  <c r="AC1583" i="24" s="1"/>
  <c r="AC1584" i="24" s="1"/>
  <c r="AC1585" i="24" s="1"/>
  <c r="AC1586" i="24" s="1"/>
  <c r="AC1587" i="24" s="1"/>
  <c r="AC1588" i="24" s="1"/>
  <c r="AC1589" i="24" s="1"/>
  <c r="AC1590" i="24" s="1"/>
  <c r="AC1591" i="24" s="1"/>
  <c r="AC1592" i="24" s="1"/>
  <c r="AC1593" i="24" s="1"/>
  <c r="AC1594" i="24" s="1"/>
  <c r="AC1595" i="24" s="1"/>
  <c r="AC1596" i="24" s="1"/>
  <c r="AC1597" i="24" s="1"/>
  <c r="AC1598" i="24" s="1"/>
  <c r="AC1599" i="24" s="1"/>
  <c r="AC1600" i="24" s="1"/>
  <c r="AC1601" i="24" s="1"/>
  <c r="AC1602" i="24" s="1"/>
  <c r="AC1603" i="24" s="1"/>
  <c r="AC1604" i="24" s="1"/>
  <c r="AC1605" i="24" s="1"/>
  <c r="AC1606" i="24" s="1"/>
  <c r="AC1607" i="24" s="1"/>
  <c r="AC1608" i="24" s="1"/>
  <c r="AC1609" i="24" s="1"/>
  <c r="AC1610" i="24" s="1"/>
  <c r="AC1611" i="24" s="1"/>
  <c r="AC1612" i="24" s="1"/>
  <c r="AC1613" i="24" s="1"/>
  <c r="AC1614" i="24" s="1"/>
  <c r="AC1615" i="24" s="1"/>
  <c r="AC1616" i="24" s="1"/>
  <c r="AC1617" i="24" s="1"/>
  <c r="AC1618" i="24" s="1"/>
  <c r="AC1619" i="24" s="1"/>
  <c r="AC1620" i="24" s="1"/>
  <c r="AC1621" i="24" s="1"/>
  <c r="AC1622" i="24" s="1"/>
  <c r="AC1623" i="24" s="1"/>
  <c r="AC1624" i="24" s="1"/>
  <c r="AC1625" i="24" s="1"/>
  <c r="AC1626" i="24" s="1"/>
  <c r="AC1627" i="24" s="1"/>
  <c r="AC1628" i="24" s="1"/>
  <c r="AC1629" i="24" s="1"/>
  <c r="AC1630" i="24" s="1"/>
  <c r="AC1631" i="24" s="1"/>
  <c r="AC1632" i="24" s="1"/>
  <c r="AC1633" i="24" s="1"/>
  <c r="AC1634" i="24" s="1"/>
  <c r="AC1635" i="24" s="1"/>
  <c r="AC1636" i="24" s="1"/>
  <c r="AC1637" i="24" s="1"/>
  <c r="AC1638" i="24" s="1"/>
  <c r="AC1639" i="24" s="1"/>
  <c r="AC1640" i="24" s="1"/>
  <c r="AC1641" i="24" s="1"/>
  <c r="AC1642" i="24" s="1"/>
  <c r="AC1643" i="24" s="1"/>
  <c r="AC1644" i="24" s="1"/>
  <c r="AC1645" i="24" s="1"/>
  <c r="AC1646" i="24" s="1"/>
  <c r="AC1647" i="24" s="1"/>
  <c r="AC1648" i="24" s="1"/>
  <c r="AC1649" i="24" s="1"/>
  <c r="AC1650" i="24" s="1"/>
  <c r="AC1651" i="24" s="1"/>
  <c r="AC1652" i="24" s="1"/>
  <c r="AC1653" i="24" s="1"/>
  <c r="AC1654" i="24" s="1"/>
  <c r="AC1655" i="24" s="1"/>
  <c r="AC1656" i="24" s="1"/>
  <c r="AC1657" i="24" s="1"/>
  <c r="AC1658" i="24" s="1"/>
  <c r="AC1659" i="24" s="1"/>
  <c r="AC1660" i="24" s="1"/>
  <c r="AC1558" i="24"/>
  <c r="AC1664" i="23"/>
  <c r="AC1665" i="23" s="1"/>
  <c r="AC1666" i="23" s="1"/>
  <c r="AC1667" i="23" s="1"/>
  <c r="AC1668" i="23" s="1"/>
  <c r="AC1669" i="23" s="1"/>
  <c r="AC1670" i="23" s="1"/>
  <c r="AC1671" i="23" s="1"/>
  <c r="AC1672" i="23" s="1"/>
  <c r="AC1673" i="23" s="1"/>
  <c r="AC1674" i="23" s="1"/>
  <c r="AC1675" i="23" s="1"/>
  <c r="AC1676" i="23" s="1"/>
  <c r="AC1677" i="23" s="1"/>
  <c r="AC1678" i="23" s="1"/>
  <c r="AC1679" i="23" s="1"/>
  <c r="AC1680" i="23" s="1"/>
  <c r="AC1681" i="23" s="1"/>
  <c r="AC1237" i="23" l="1"/>
  <c r="AC1238" i="23" s="1"/>
  <c r="AC1239" i="23" s="1"/>
  <c r="AC1240" i="23" s="1"/>
  <c r="AC1382" i="23"/>
  <c r="AC1383" i="23" s="1"/>
  <c r="AC1384" i="23" s="1"/>
  <c r="AC1385" i="23" s="1"/>
  <c r="AC1386" i="23" s="1"/>
  <c r="AC1387" i="23" s="1"/>
  <c r="AC1388" i="23" s="1"/>
  <c r="AC1389" i="23" s="1"/>
  <c r="AC1390" i="23" s="1"/>
  <c r="AC1391" i="23" s="1"/>
  <c r="AC1392" i="23" s="1"/>
  <c r="AC1393" i="23" s="1"/>
  <c r="AC1394" i="23" s="1"/>
  <c r="AC1661" i="24"/>
  <c r="AC1662" i="24" s="1"/>
  <c r="AC1663" i="24" s="1"/>
  <c r="AC1757" i="23"/>
  <c r="AC1758" i="23" s="1"/>
  <c r="AC1759" i="23" s="1"/>
  <c r="AC1263" i="23" l="1"/>
  <c r="AC1831" i="23"/>
  <c r="AC1830" i="23"/>
  <c r="AC1664" i="24"/>
  <c r="AC1665" i="24" s="1"/>
  <c r="AC1666" i="24" s="1"/>
  <c r="AC1667" i="24" s="1"/>
  <c r="AC1668" i="24" s="1"/>
  <c r="AC1669" i="24" s="1"/>
  <c r="AC1670" i="24" s="1"/>
  <c r="AC1671" i="24" s="1"/>
  <c r="AC1672" i="24" s="1"/>
  <c r="AC1673" i="24" s="1"/>
  <c r="AC1674" i="24" s="1"/>
  <c r="AC1675" i="24" s="1"/>
  <c r="AC1676" i="24" s="1"/>
  <c r="AC1677" i="24" s="1"/>
  <c r="AC1678" i="24" s="1"/>
  <c r="AC1679" i="24" s="1"/>
  <c r="AC1680" i="24" s="1"/>
  <c r="AC1681" i="24" s="1"/>
  <c r="AC1682" i="24" s="1"/>
  <c r="AC1683" i="24" s="1"/>
  <c r="AC1684" i="24" s="1"/>
  <c r="AC1685" i="24" s="1"/>
  <c r="AC1686" i="24" s="1"/>
  <c r="AC1687" i="24" s="1"/>
  <c r="AC1688" i="24" s="1"/>
  <c r="AC1689" i="24" s="1"/>
  <c r="AC1690" i="24" s="1"/>
  <c r="AC1691" i="24" s="1"/>
  <c r="AC1692" i="24" s="1"/>
  <c r="AC1693" i="24" s="1"/>
  <c r="AC1694" i="24" s="1"/>
  <c r="AC1695" i="24" s="1"/>
  <c r="AC1696" i="24" s="1"/>
  <c r="AC1697" i="24" s="1"/>
  <c r="AC1698" i="24" s="1"/>
  <c r="AC1699" i="24" s="1"/>
  <c r="AC1700" i="24" s="1"/>
  <c r="AC1701" i="24" s="1"/>
  <c r="AC1702" i="24" s="1"/>
  <c r="AC1703" i="24" s="1"/>
  <c r="AC1704" i="24" s="1"/>
  <c r="AC1705" i="24" s="1"/>
  <c r="AC1706" i="24" s="1"/>
  <c r="AC1707" i="24" s="1"/>
  <c r="AC1708" i="24" s="1"/>
  <c r="AC1709" i="24" s="1"/>
  <c r="AC1710" i="24" s="1"/>
  <c r="AC1711" i="24" s="1"/>
  <c r="AC1712" i="24" s="1"/>
  <c r="AC1713" i="24" s="1"/>
  <c r="AC1714" i="24" s="1"/>
  <c r="AC1715" i="24" s="1"/>
  <c r="AC1716" i="24" s="1"/>
  <c r="AC1717" i="24" s="1"/>
  <c r="AC1718" i="24" s="1"/>
  <c r="AC1719" i="24" s="1"/>
  <c r="AC1720" i="24" s="1"/>
  <c r="AC1721" i="24" s="1"/>
  <c r="AC1722" i="24" s="1"/>
  <c r="AC1723" i="24" s="1"/>
  <c r="AC1724" i="24" s="1"/>
  <c r="AC1725" i="24" s="1"/>
  <c r="AC1726" i="24" s="1"/>
  <c r="AC1727" i="24" s="1"/>
  <c r="AC1728" i="24" s="1"/>
  <c r="AC1729" i="24" s="1"/>
  <c r="AC1730" i="24" s="1"/>
  <c r="AC1731" i="24" s="1"/>
  <c r="AC1732" i="24" s="1"/>
  <c r="AC1733" i="24" s="1"/>
  <c r="AC1734" i="24" s="1"/>
  <c r="AC1735" i="24" s="1"/>
  <c r="AC1736" i="24" s="1"/>
  <c r="AC1737" i="24" s="1"/>
  <c r="AC1738" i="24" s="1"/>
  <c r="AC1739" i="24" s="1"/>
  <c r="AC1740" i="24" s="1"/>
  <c r="AC1741" i="24" s="1"/>
  <c r="AC1742" i="24" s="1"/>
  <c r="AC1743" i="24" s="1"/>
  <c r="AC1744" i="24" s="1"/>
  <c r="AC1745" i="24" s="1"/>
  <c r="AC1746" i="24" s="1"/>
  <c r="AC1747" i="24" s="1"/>
  <c r="AC1748" i="24" s="1"/>
  <c r="AC1749" i="24" s="1"/>
  <c r="AC1750" i="24" s="1"/>
  <c r="AC1751" i="24" s="1"/>
  <c r="AC1752" i="24" s="1"/>
  <c r="AC1753" i="24" s="1"/>
  <c r="AC1754" i="24" s="1"/>
  <c r="AC1755" i="24" s="1"/>
  <c r="AC1756" i="24" s="1"/>
  <c r="AC1757" i="24" s="1"/>
  <c r="AC1758" i="24" s="1"/>
  <c r="AC1759" i="24" s="1"/>
  <c r="AC1760" i="24" s="1"/>
  <c r="AC1761" i="24" s="1"/>
  <c r="AC1762" i="24" s="1"/>
  <c r="AC1763" i="24" s="1"/>
  <c r="AC1764" i="24" s="1"/>
  <c r="AC1765" i="24" s="1"/>
  <c r="AC1766" i="24" s="1"/>
  <c r="AC1767" i="24" s="1"/>
  <c r="AC1768" i="24" s="1"/>
  <c r="AC1769" i="24" s="1"/>
  <c r="AC1770" i="24" s="1"/>
  <c r="AC1771" i="24" s="1"/>
  <c r="AC1772" i="24" s="1"/>
  <c r="AC1773" i="24" s="1"/>
  <c r="AC1774" i="24" s="1"/>
  <c r="AC1775" i="24" s="1"/>
  <c r="AC1776" i="24" s="1"/>
  <c r="AC1777" i="24" s="1"/>
  <c r="AC1778" i="24" s="1"/>
  <c r="AC1779" i="24" s="1"/>
  <c r="AC1780" i="24" s="1"/>
  <c r="AC1781" i="24" s="1"/>
  <c r="AC1782" i="24" s="1"/>
  <c r="AC1783" i="24" s="1"/>
  <c r="AC1784" i="24" s="1"/>
  <c r="AC1785" i="24" s="1"/>
  <c r="AC1786" i="24" s="1"/>
  <c r="AC1787" i="24" s="1"/>
  <c r="AC1788" i="24" s="1"/>
  <c r="AC1789" i="24" s="1"/>
  <c r="AC1790" i="24" s="1"/>
  <c r="AC1791" i="24" s="1"/>
  <c r="AC1792" i="24" s="1"/>
  <c r="AC1793" i="24" s="1"/>
  <c r="AC1794" i="24" s="1"/>
  <c r="AC1795" i="24" s="1"/>
  <c r="AC1796" i="24" s="1"/>
  <c r="AC1797" i="24" s="1"/>
  <c r="AC1798" i="24" s="1"/>
  <c r="AC1799" i="24" s="1"/>
  <c r="AC1800" i="24" s="1"/>
  <c r="AC1801" i="24" s="1"/>
  <c r="AC1802" i="24" s="1"/>
  <c r="AC1803" i="24" s="1"/>
  <c r="AC1804" i="24" s="1"/>
  <c r="AC1805" i="24" s="1"/>
  <c r="AC1806" i="24" s="1"/>
  <c r="AC1807" i="24" s="1"/>
  <c r="AC1808" i="24" s="1"/>
  <c r="AC1809" i="24" s="1"/>
  <c r="AC1810" i="24" s="1"/>
  <c r="AC1811" i="24" s="1"/>
  <c r="AC1812" i="24" s="1"/>
  <c r="AC1813" i="24" s="1"/>
  <c r="AC1814" i="24" s="1"/>
  <c r="AC1815" i="24" s="1"/>
  <c r="AC1816" i="24" s="1"/>
  <c r="AC1817" i="24" s="1"/>
  <c r="AC1818" i="24" s="1"/>
  <c r="AC1819" i="24" s="1"/>
  <c r="AC1820" i="24" s="1"/>
  <c r="AC1821" i="24" s="1"/>
  <c r="AC1822" i="24" s="1"/>
  <c r="AC1823" i="24" s="1"/>
  <c r="AC1824" i="24" s="1"/>
  <c r="AC1825" i="24" s="1"/>
  <c r="AC1826" i="24" s="1"/>
  <c r="AC1827" i="24" s="1"/>
  <c r="AC1828" i="24" s="1"/>
  <c r="AC1829" i="24" s="1"/>
  <c r="AC1830" i="24" s="1"/>
  <c r="AC1831" i="24" s="1"/>
  <c r="AC1832" i="24" s="1"/>
  <c r="AC1833" i="24" s="1"/>
  <c r="AC1834" i="24" s="1"/>
  <c r="AC1835" i="24" s="1"/>
  <c r="AC1836" i="24" s="1"/>
  <c r="AC1837" i="24" s="1"/>
  <c r="AC1838" i="24" s="1"/>
  <c r="AC1839" i="24" s="1"/>
  <c r="AC1840" i="24" s="1"/>
  <c r="AC1841" i="24" s="1"/>
  <c r="AC1264" i="23" l="1"/>
  <c r="AC1843" i="24"/>
  <c r="AC1844" i="24" s="1"/>
  <c r="AC1845" i="24" s="1"/>
  <c r="AC1846" i="24" s="1"/>
  <c r="AC1847" i="24" s="1"/>
  <c r="AC1842" i="24"/>
  <c r="AC1842" i="23"/>
  <c r="AC1843" i="23" s="1"/>
  <c r="AC1844" i="23" s="1"/>
  <c r="AC1845" i="23" s="1"/>
  <c r="AC1846" i="23" s="1"/>
  <c r="AC1847" i="23" s="1"/>
  <c r="AC1848" i="23" s="1"/>
  <c r="AC1849" i="23" s="1"/>
  <c r="AC1850" i="23" s="1"/>
  <c r="AC1851" i="23" s="1"/>
  <c r="AC1852" i="23" s="1"/>
  <c r="AC1853" i="23" s="1"/>
  <c r="AC1854" i="23" s="1"/>
  <c r="AC1855" i="23" s="1"/>
  <c r="AC1856" i="23" s="1"/>
  <c r="AC1857" i="23" s="1"/>
  <c r="AC1858" i="23" s="1"/>
  <c r="AC1859" i="23" s="1"/>
  <c r="AC1860" i="23" s="1"/>
  <c r="AC1861" i="23" s="1"/>
  <c r="AC1862" i="23" s="1"/>
  <c r="AC1863" i="23" s="1"/>
  <c r="AC1864" i="23" s="1"/>
  <c r="AC1865" i="23" s="1"/>
  <c r="AC1866" i="23" s="1"/>
  <c r="AC1867" i="23" s="1"/>
  <c r="AC1868" i="23" s="1"/>
  <c r="AC1869" i="23" s="1"/>
  <c r="AC1870" i="23" s="1"/>
  <c r="AC1871" i="23" s="1"/>
  <c r="AC1872" i="23" s="1"/>
  <c r="AC1873" i="23" s="1"/>
  <c r="AC1265" i="23" l="1"/>
  <c r="AC1986" i="23"/>
  <c r="AC1987" i="23" s="1"/>
  <c r="AC1988" i="23" s="1"/>
  <c r="AC1989" i="23" s="1"/>
  <c r="AC1990" i="23" s="1"/>
  <c r="AC1991" i="23" s="1"/>
  <c r="AC1992" i="23" s="1"/>
  <c r="AC1993" i="23" s="1"/>
  <c r="AC1994" i="23" s="1"/>
  <c r="AC1995" i="23" s="1"/>
  <c r="AC1996" i="23" s="1"/>
  <c r="AC1997" i="23" s="1"/>
  <c r="AC1998" i="23" s="1"/>
  <c r="AC1999" i="23" s="1"/>
  <c r="AC2000" i="23" s="1"/>
  <c r="AC2001" i="23" s="1"/>
  <c r="AC2002" i="23" s="1"/>
  <c r="AC2003" i="23" s="1"/>
  <c r="AC2004" i="23" s="1"/>
  <c r="AC2005" i="23" s="1"/>
  <c r="AC2006" i="23" s="1"/>
  <c r="AC2007" i="23" s="1"/>
  <c r="AC2008" i="23" s="1"/>
  <c r="AC2009" i="23" s="1"/>
  <c r="AC2010" i="23" s="1"/>
  <c r="AC2011" i="23" s="1"/>
  <c r="AC2012" i="23" s="1"/>
  <c r="AC2013" i="23" s="1"/>
  <c r="AC2014" i="23" s="1"/>
  <c r="AC2015" i="23" s="1"/>
  <c r="AC2016" i="23" s="1"/>
  <c r="AC2017" i="23" s="1"/>
  <c r="AC2018" i="23" s="1"/>
  <c r="AC2019" i="23" s="1"/>
  <c r="AC2020" i="23" s="1"/>
  <c r="AC2021" i="23" s="1"/>
  <c r="AC2022" i="23" s="1"/>
  <c r="AC2023" i="23" s="1"/>
  <c r="AC2024" i="23" s="1"/>
  <c r="AC2025" i="23" s="1"/>
  <c r="AC2026" i="23" s="1"/>
  <c r="AC2027" i="23" s="1"/>
  <c r="AC2028" i="23" s="1"/>
  <c r="AC2029" i="23" s="1"/>
  <c r="AC2030" i="23" s="1"/>
  <c r="AC2031" i="23" s="1"/>
  <c r="AC2032" i="23" s="1"/>
  <c r="AC2033" i="23" s="1"/>
  <c r="AC2034" i="23" s="1"/>
  <c r="AC2035" i="23" s="1"/>
  <c r="AC2036" i="23" s="1"/>
  <c r="AC1848" i="24"/>
  <c r="AC1849" i="24" s="1"/>
  <c r="AC1850" i="24" s="1"/>
  <c r="AC1851" i="24" s="1"/>
  <c r="AC1852" i="24" s="1"/>
  <c r="AC1853" i="24" s="1"/>
  <c r="AC1854" i="24" s="1"/>
  <c r="AC1855" i="24" s="1"/>
  <c r="AC1856" i="24" s="1"/>
  <c r="AC1857" i="24" s="1"/>
  <c r="AC1858" i="24" s="1"/>
  <c r="AC1859" i="24" s="1"/>
  <c r="AC1860" i="24" s="1"/>
  <c r="AC1861" i="24" s="1"/>
  <c r="AC1862" i="24" s="1"/>
  <c r="AC1863" i="24" s="1"/>
  <c r="AC1864" i="24" s="1"/>
  <c r="AC1865" i="24" s="1"/>
  <c r="AC1866" i="24" s="1"/>
  <c r="AC1867" i="24" s="1"/>
  <c r="AC1868" i="24" s="1"/>
  <c r="AC1869" i="24" s="1"/>
  <c r="AC1870" i="24" s="1"/>
  <c r="AC1871" i="24" s="1"/>
  <c r="AC1872" i="24" s="1"/>
  <c r="AC1873" i="24" s="1"/>
  <c r="AC1874" i="24" s="1"/>
  <c r="AC1875" i="24" s="1"/>
  <c r="AC1876" i="24" s="1"/>
  <c r="AC1877" i="24" s="1"/>
  <c r="AC1878" i="24" s="1"/>
  <c r="AC1879" i="24" s="1"/>
  <c r="AC1880" i="24" s="1"/>
  <c r="AC1881" i="24" s="1"/>
  <c r="AC1882" i="24" s="1"/>
  <c r="AC1883" i="24" s="1"/>
  <c r="AC1884" i="24" s="1"/>
  <c r="AC1885" i="24" s="1"/>
  <c r="AC1886" i="24" s="1"/>
  <c r="AC1887" i="24" s="1"/>
  <c r="AC1888" i="24" s="1"/>
  <c r="AC1889" i="24" s="1"/>
  <c r="AC1890" i="24" s="1"/>
  <c r="AC1891" i="24" s="1"/>
  <c r="AC1892" i="24" s="1"/>
  <c r="AC1893" i="24" s="1"/>
  <c r="AC1894" i="24" s="1"/>
  <c r="AC1895" i="24" s="1"/>
  <c r="AC1896" i="24" s="1"/>
  <c r="AC1897" i="24" s="1"/>
  <c r="AC1898" i="24" s="1"/>
  <c r="AC1899" i="24" s="1"/>
  <c r="AC1900" i="24" s="1"/>
  <c r="AC1901" i="24" s="1"/>
  <c r="AC1902" i="24" s="1"/>
  <c r="AC1903" i="24" s="1"/>
  <c r="AC1904" i="24" s="1"/>
  <c r="AC1905" i="24" s="1"/>
  <c r="AC1906" i="24" s="1"/>
  <c r="AC1907" i="24" s="1"/>
  <c r="AC1908" i="24" s="1"/>
  <c r="AC1909" i="24" s="1"/>
  <c r="AC1910" i="24" s="1"/>
  <c r="AC1911" i="24" s="1"/>
  <c r="AC1912" i="24" s="1"/>
  <c r="AC1913" i="24" s="1"/>
  <c r="AC1914" i="24" s="1"/>
  <c r="AC1266" i="23" l="1"/>
  <c r="AC2094" i="23"/>
  <c r="AC2095" i="23" s="1"/>
  <c r="AC2093" i="23"/>
  <c r="AC1915" i="24"/>
  <c r="AC1267" i="23" l="1"/>
  <c r="AC1916" i="24"/>
  <c r="AC1268" i="23" l="1"/>
  <c r="AC1917" i="24"/>
  <c r="AC1269" i="23" l="1"/>
  <c r="AC1270" i="23" s="1"/>
  <c r="AC1271" i="23" s="1"/>
  <c r="AC1272" i="23" s="1"/>
  <c r="AC1273" i="23" s="1"/>
  <c r="AC1274" i="23" s="1"/>
  <c r="AC1275" i="23" s="1"/>
  <c r="AC1276" i="23" s="1"/>
  <c r="AC1277" i="23" s="1"/>
  <c r="AC1278" i="23" s="1"/>
  <c r="AC1279" i="23" s="1"/>
  <c r="AC1280" i="23" s="1"/>
  <c r="AC1281" i="23" s="1"/>
  <c r="AC1282" i="23" s="1"/>
  <c r="AC1283" i="23" s="1"/>
  <c r="AC1284" i="23" s="1"/>
  <c r="AC1285" i="23" s="1"/>
  <c r="AC1286" i="23" s="1"/>
  <c r="AC1287" i="23" s="1"/>
  <c r="AC1288" i="23" s="1"/>
  <c r="AC1289" i="23" s="1"/>
  <c r="AC1290" i="23" s="1"/>
  <c r="AC1291" i="23" s="1"/>
  <c r="AC1292" i="23" s="1"/>
  <c r="AC1293" i="23" s="1"/>
  <c r="AC1294" i="23" s="1"/>
  <c r="AC1295" i="23" s="1"/>
  <c r="AC1296" i="23" s="1"/>
  <c r="AC1297" i="23" s="1"/>
  <c r="AC1298" i="23" s="1"/>
  <c r="AC1299" i="23" s="1"/>
  <c r="AC1300" i="23" s="1"/>
  <c r="AC1301" i="23" s="1"/>
  <c r="AC1302" i="23" s="1"/>
  <c r="AC1303" i="23" s="1"/>
  <c r="AC1304" i="23" s="1"/>
  <c r="AC1305" i="23" s="1"/>
  <c r="AC1306" i="23" s="1"/>
  <c r="AC1307" i="23" s="1"/>
  <c r="AC1308" i="23" s="1"/>
  <c r="AC1309" i="23" s="1"/>
  <c r="AC1310" i="23" s="1"/>
  <c r="AC1311" i="23" s="1"/>
  <c r="AC1312" i="23" s="1"/>
  <c r="AC1313" i="23" s="1"/>
  <c r="AC1314" i="23" s="1"/>
  <c r="AC1315" i="23" s="1"/>
  <c r="AC1364" i="23" s="1"/>
  <c r="AC1365" i="23" s="1"/>
  <c r="AC1366" i="23" s="1"/>
  <c r="AC1367" i="23" s="1"/>
  <c r="AC1368" i="23" s="1"/>
  <c r="AC1369" i="23" s="1"/>
  <c r="AC1370" i="23" s="1"/>
  <c r="AC1371" i="23" s="1"/>
  <c r="AC1372" i="23" s="1"/>
  <c r="AC1373" i="23" s="1"/>
  <c r="AC1374" i="23" s="1"/>
  <c r="AC1375" i="23" s="1"/>
  <c r="AC1376" i="23" s="1"/>
  <c r="AC1377" i="23" s="1"/>
  <c r="AC1378" i="23" s="1"/>
  <c r="AC1379" i="23" s="1"/>
  <c r="AC1380" i="23" s="1"/>
  <c r="AC1381" i="23" s="1"/>
  <c r="AC1395" i="23"/>
  <c r="AC1396" i="23" s="1"/>
  <c r="AC1397" i="23" s="1"/>
  <c r="AC1398" i="23" s="1"/>
  <c r="AC1399" i="23" s="1"/>
  <c r="AC1400" i="23" s="1"/>
  <c r="AC1401" i="23" s="1"/>
  <c r="AC1402" i="23" s="1"/>
  <c r="AC1403" i="23" s="1"/>
  <c r="AC1404" i="23" s="1"/>
  <c r="AC1405" i="23" s="1"/>
  <c r="AC1406" i="23" s="1"/>
  <c r="AC1407" i="23" s="1"/>
  <c r="AC1408" i="23" s="1"/>
  <c r="AC1409" i="23" s="1"/>
  <c r="AC1410" i="23" s="1"/>
  <c r="AC1411" i="23" s="1"/>
  <c r="AC1412" i="23" s="1"/>
  <c r="AC1413" i="23" s="1"/>
  <c r="AC1414" i="23" s="1"/>
  <c r="AC1415" i="23" s="1"/>
  <c r="AC1416" i="23" s="1"/>
  <c r="AC1417" i="23" s="1"/>
  <c r="AC1418" i="23" s="1"/>
  <c r="AC1419" i="23" s="1"/>
  <c r="AC1420" i="23" s="1"/>
  <c r="AC1421" i="23" s="1"/>
  <c r="AC1422" i="23" s="1"/>
  <c r="AC1423" i="23" s="1"/>
  <c r="AC1424" i="23" s="1"/>
  <c r="AC1425" i="23" s="1"/>
  <c r="AC1426" i="23" s="1"/>
  <c r="AC1427" i="23" s="1"/>
  <c r="AC1428" i="23" s="1"/>
  <c r="AC1429" i="23" s="1"/>
  <c r="AC1430" i="23" s="1"/>
  <c r="AC1431" i="23" s="1"/>
  <c r="AC1432" i="23" s="1"/>
  <c r="AC1433" i="23" s="1"/>
  <c r="AC1434" i="23" s="1"/>
  <c r="AC1435" i="23" s="1"/>
  <c r="AC1436" i="23" s="1"/>
  <c r="AC1437" i="23" s="1"/>
  <c r="AC1438" i="23" s="1"/>
  <c r="AC1439" i="23" s="1"/>
  <c r="AC1440" i="23" s="1"/>
  <c r="AC1441" i="23" s="1"/>
  <c r="AC1442" i="23" s="1"/>
  <c r="AC1443" i="23" s="1"/>
  <c r="AC1444" i="23" s="1"/>
  <c r="AC1445" i="23" s="1"/>
  <c r="AC1446" i="23" s="1"/>
  <c r="AC1447" i="23" s="1"/>
  <c r="AC1448" i="23" s="1"/>
  <c r="AC1449" i="23" s="1"/>
  <c r="AC1450" i="23" s="1"/>
  <c r="AC1451" i="23" s="1"/>
  <c r="AC1452" i="23" s="1"/>
  <c r="AC1453" i="23" s="1"/>
  <c r="AC1454" i="23" s="1"/>
  <c r="AC1455" i="23" s="1"/>
  <c r="AC1456" i="23" s="1"/>
  <c r="AC1457" i="23" s="1"/>
  <c r="AC1458" i="23" s="1"/>
  <c r="AC1459" i="23" s="1"/>
  <c r="AC1460" i="23" s="1"/>
  <c r="AC1461" i="23" s="1"/>
  <c r="AC1462" i="23" s="1"/>
  <c r="AC1463" i="23" s="1"/>
  <c r="AC1464" i="23" s="1"/>
  <c r="AC1465" i="23" s="1"/>
  <c r="AC1466" i="23" s="1"/>
  <c r="AC1467" i="23" s="1"/>
  <c r="AC1468" i="23" s="1"/>
  <c r="AC1469" i="23" s="1"/>
  <c r="AC1470" i="23" s="1"/>
  <c r="AC1471" i="23" s="1"/>
  <c r="AC1472" i="23" s="1"/>
  <c r="AC1473" i="23" s="1"/>
  <c r="AC1474" i="23" s="1"/>
  <c r="AC1475" i="23" s="1"/>
  <c r="AC1476" i="23" s="1"/>
  <c r="AC1477" i="23" s="1"/>
  <c r="AC1478" i="23" s="1"/>
  <c r="AC1479" i="23" s="1"/>
  <c r="AC1480" i="23" s="1"/>
  <c r="AC1481" i="23" s="1"/>
  <c r="AC1482" i="23" s="1"/>
  <c r="AC1483" i="23" s="1"/>
  <c r="AC1484" i="23" s="1"/>
  <c r="AC1506" i="23" s="1"/>
  <c r="AC1507" i="23" s="1"/>
  <c r="AC1508" i="23" s="1"/>
  <c r="AC1509" i="23" s="1"/>
  <c r="AC1510" i="23" s="1"/>
  <c r="AC1511" i="23" s="1"/>
  <c r="AC1512" i="23" s="1"/>
  <c r="AC1513" i="23" s="1"/>
  <c r="AC1514" i="23" s="1"/>
  <c r="AC1515" i="23" s="1"/>
  <c r="AC1516" i="23" s="1"/>
  <c r="AC1517" i="23" s="1"/>
  <c r="AC1518" i="23" s="1"/>
  <c r="AC1519" i="23" s="1"/>
  <c r="AC1520" i="23" s="1"/>
  <c r="AC1521" i="23" s="1"/>
  <c r="AC1522" i="23" s="1"/>
  <c r="AC1523" i="23" s="1"/>
  <c r="AC1524" i="23" s="1"/>
  <c r="AC1528" i="23" s="1"/>
  <c r="AC1529" i="23" s="1"/>
  <c r="AC1530" i="23" s="1"/>
  <c r="AC1531" i="23" s="1"/>
  <c r="AC1532" i="23" s="1"/>
  <c r="AC1533" i="23" s="1"/>
  <c r="AC1534" i="23" s="1"/>
  <c r="AC1535" i="23" s="1"/>
  <c r="AC1536" i="23" s="1"/>
  <c r="AC1537" i="23" s="1"/>
  <c r="AC1538" i="23" s="1"/>
  <c r="AC1539" i="23" s="1"/>
  <c r="AC1540" i="23" s="1"/>
  <c r="AC1541" i="23" s="1"/>
  <c r="AC1542" i="23" s="1"/>
  <c r="AC1569" i="23" s="1"/>
  <c r="AC1570" i="23" s="1"/>
  <c r="AC1571" i="23" s="1"/>
  <c r="AC1572" i="23" s="1"/>
  <c r="AC1573" i="23" s="1"/>
  <c r="AC1574" i="23" s="1"/>
  <c r="AC1575" i="23" s="1"/>
  <c r="AC1576" i="23" s="1"/>
  <c r="AC1577" i="23" s="1"/>
  <c r="AC1578" i="23" s="1"/>
  <c r="AC1579" i="23" s="1"/>
  <c r="AC1580" i="23" s="1"/>
  <c r="AC1581" i="23" s="1"/>
  <c r="AC1582" i="23" s="1"/>
  <c r="AC1583" i="23" s="1"/>
  <c r="AC1584" i="23" s="1"/>
  <c r="AC1585" i="23" s="1"/>
  <c r="AC1586" i="23" s="1"/>
  <c r="AC1587" i="23" s="1"/>
  <c r="AC1588" i="23" s="1"/>
  <c r="AC1589" i="23" s="1"/>
  <c r="AC1590" i="23" s="1"/>
  <c r="AC1591" i="23" s="1"/>
  <c r="AC1592" i="23" s="1"/>
  <c r="AC1593" i="23" s="1"/>
  <c r="AC1594" i="23" s="1"/>
  <c r="AC1595" i="23" s="1"/>
  <c r="AC1596" i="23" s="1"/>
  <c r="AC1597" i="23" s="1"/>
  <c r="AC1598" i="23" s="1"/>
  <c r="AC1599" i="23" s="1"/>
  <c r="AC1600" i="23" s="1"/>
  <c r="AC1601" i="23" s="1"/>
  <c r="AC1602" i="23" s="1"/>
  <c r="AC1603" i="23" s="1"/>
  <c r="AC1604" i="23" s="1"/>
  <c r="AC1605" i="23" s="1"/>
  <c r="AC1606" i="23" s="1"/>
  <c r="AC1607" i="23" s="1"/>
  <c r="AC1608" i="23" s="1"/>
  <c r="AC1609" i="23" s="1"/>
  <c r="AC1610" i="23" s="1"/>
  <c r="AC1611" i="23" s="1"/>
  <c r="AC1612" i="23" s="1"/>
  <c r="AC1613" i="23" s="1"/>
  <c r="AC1614" i="23" s="1"/>
  <c r="AC1615" i="23" s="1"/>
  <c r="AC1616" i="23" s="1"/>
  <c r="AC1617" i="23" s="1"/>
  <c r="AC1618" i="23" s="1"/>
  <c r="AC1619" i="23" s="1"/>
  <c r="AC1620" i="23" s="1"/>
  <c r="AC1621" i="23" s="1"/>
  <c r="AC1622" i="23" s="1"/>
  <c r="AC1623" i="23" s="1"/>
  <c r="AC1624" i="23" s="1"/>
  <c r="AC1625" i="23" s="1"/>
  <c r="AC1626" i="23" s="1"/>
  <c r="AC1627" i="23" s="1"/>
  <c r="AC1628" i="23" s="1"/>
  <c r="AC1629" i="23" s="1"/>
  <c r="AC1630" i="23" s="1"/>
  <c r="AC1631" i="23" s="1"/>
  <c r="AC1632" i="23" s="1"/>
  <c r="AC1633" i="23" s="1"/>
  <c r="AC1634" i="23" s="1"/>
  <c r="AC1635" i="23" s="1"/>
  <c r="AC1636" i="23" s="1"/>
  <c r="AC1637" i="23" s="1"/>
  <c r="AC1638" i="23" s="1"/>
  <c r="AC1639" i="23" s="1"/>
  <c r="AC1640" i="23" s="1"/>
  <c r="AC1641" i="23" s="1"/>
  <c r="AC1642" i="23" s="1"/>
  <c r="AC1643" i="23" s="1"/>
  <c r="AC1644" i="23" s="1"/>
  <c r="AC1645" i="23" s="1"/>
  <c r="AC1646" i="23" s="1"/>
  <c r="AC1647" i="23" s="1"/>
  <c r="AC1648" i="23" s="1"/>
  <c r="AC1649" i="23" s="1"/>
  <c r="AC1650" i="23" s="1"/>
  <c r="AC1651" i="23" s="1"/>
  <c r="AC1652" i="23" s="1"/>
  <c r="AC1653" i="23" s="1"/>
  <c r="AC1654" i="23" s="1"/>
  <c r="AC1655" i="23" s="1"/>
  <c r="AC1656" i="23" s="1"/>
  <c r="AC1657" i="23" s="1"/>
  <c r="AC1658" i="23" s="1"/>
  <c r="AC1659" i="23" s="1"/>
  <c r="AC1660" i="23" s="1"/>
  <c r="AC1663" i="23" s="1"/>
  <c r="AC1682" i="23" s="1"/>
  <c r="AC1683" i="23" s="1"/>
  <c r="AC1684" i="23" s="1"/>
  <c r="AC1685" i="23" s="1"/>
  <c r="AC1686" i="23" s="1"/>
  <c r="AC1918" i="24"/>
  <c r="AC1687" i="23" l="1"/>
  <c r="AC1688" i="23" s="1"/>
  <c r="AC1689" i="23" s="1"/>
  <c r="AC1690" i="23" s="1"/>
  <c r="AC1691" i="23" s="1"/>
  <c r="AC1692" i="23" s="1"/>
  <c r="AC1693" i="23" s="1"/>
  <c r="AC1694" i="23" s="1"/>
  <c r="AC1695" i="23" s="1"/>
  <c r="AC1696" i="23" s="1"/>
  <c r="AC1697" i="23" s="1"/>
  <c r="AC1698" i="23" s="1"/>
  <c r="AC1699" i="23" s="1"/>
  <c r="AC1700" i="23" s="1"/>
  <c r="AC1701" i="23" s="1"/>
  <c r="AC1702" i="23" s="1"/>
  <c r="AC1703" i="23" s="1"/>
  <c r="AC1704" i="23" s="1"/>
  <c r="AC1705" i="23" s="1"/>
  <c r="AC1706" i="23" s="1"/>
  <c r="AC1707" i="23" s="1"/>
  <c r="AC1708" i="23" s="1"/>
  <c r="AC1709" i="23" s="1"/>
  <c r="AC1710" i="23" s="1"/>
  <c r="AC1711" i="23" s="1"/>
  <c r="AC1712" i="23" s="1"/>
  <c r="AC1713" i="23" s="1"/>
  <c r="AC1714" i="23" s="1"/>
  <c r="AC1715" i="23" s="1"/>
  <c r="AC1716" i="23" s="1"/>
  <c r="AC1717" i="23" s="1"/>
  <c r="AC1718" i="23" s="1"/>
  <c r="AC1719" i="23" s="1"/>
  <c r="AC1720" i="23" s="1"/>
  <c r="AC1721" i="23" s="1"/>
  <c r="AC1722" i="23" s="1"/>
  <c r="AC1723" i="23" s="1"/>
  <c r="AC1724" i="23" s="1"/>
  <c r="AC1725" i="23" s="1"/>
  <c r="AC1726" i="23" s="1"/>
  <c r="AC1727" i="23" s="1"/>
  <c r="AC1728" i="23" s="1"/>
  <c r="AC1729" i="23" s="1"/>
  <c r="AC1730" i="23" s="1"/>
  <c r="AC1731" i="23" s="1"/>
  <c r="AC1732" i="23" s="1"/>
  <c r="AC1733" i="23" s="1"/>
  <c r="AC1734" i="23" s="1"/>
  <c r="AC1735" i="23" s="1"/>
  <c r="AC1736" i="23" s="1"/>
  <c r="AC1737" i="23" s="1"/>
  <c r="AC1738" i="23" s="1"/>
  <c r="AC1739" i="23" s="1"/>
  <c r="AC1740" i="23" s="1"/>
  <c r="AC1741" i="23" s="1"/>
  <c r="AC1742" i="23" s="1"/>
  <c r="AC1743" i="23" s="1"/>
  <c r="AC1744" i="23" s="1"/>
  <c r="AC1745" i="23" s="1"/>
  <c r="AC1746" i="23" s="1"/>
  <c r="AC1747" i="23" s="1"/>
  <c r="AC1748" i="23" s="1"/>
  <c r="AC1749" i="23" s="1"/>
  <c r="AC1750" i="23" s="1"/>
  <c r="AC1751" i="23" s="1"/>
  <c r="AC1752" i="23" s="1"/>
  <c r="AC1753" i="23" s="1"/>
  <c r="AC1754" i="23" s="1"/>
  <c r="AC1755" i="23" s="1"/>
  <c r="AC1756" i="23" s="1"/>
  <c r="AC1760" i="23" s="1"/>
  <c r="AC1761" i="23" s="1"/>
  <c r="AC1762" i="23" s="1"/>
  <c r="AC1763" i="23" s="1"/>
  <c r="AC1764" i="23" s="1"/>
  <c r="AC1765" i="23" s="1"/>
  <c r="AC1766" i="23" s="1"/>
  <c r="AC1767" i="23" s="1"/>
  <c r="AC1768" i="23" s="1"/>
  <c r="AC1769" i="23" s="1"/>
  <c r="AC1770" i="23" s="1"/>
  <c r="AC1771" i="23" s="1"/>
  <c r="AC1772" i="23" s="1"/>
  <c r="AC1773" i="23" s="1"/>
  <c r="AC1774" i="23" s="1"/>
  <c r="AC1775" i="23" s="1"/>
  <c r="AC1776" i="23" s="1"/>
  <c r="AC1777" i="23" s="1"/>
  <c r="AC1778" i="23" s="1"/>
  <c r="AC1779" i="23" s="1"/>
  <c r="AC1780" i="23" s="1"/>
  <c r="AC1781" i="23" s="1"/>
  <c r="AC1782" i="23" s="1"/>
  <c r="AC1783" i="23" s="1"/>
  <c r="AC1784" i="23" s="1"/>
  <c r="AC1785" i="23" s="1"/>
  <c r="AC1786" i="23" s="1"/>
  <c r="AC1787" i="23" s="1"/>
  <c r="AC1788" i="23" s="1"/>
  <c r="AC1789" i="23" s="1"/>
  <c r="AC1790" i="23" s="1"/>
  <c r="AC1791" i="23" s="1"/>
  <c r="AC1792" i="23" s="1"/>
  <c r="AC1793" i="23" s="1"/>
  <c r="AC1794" i="23" s="1"/>
  <c r="AC1795" i="23" s="1"/>
  <c r="AC1796" i="23" s="1"/>
  <c r="AC1797" i="23" s="1"/>
  <c r="AC1798" i="23" s="1"/>
  <c r="AC1799" i="23" s="1"/>
  <c r="AC1800" i="23" s="1"/>
  <c r="AC1801" i="23" s="1"/>
  <c r="AC1802" i="23" s="1"/>
  <c r="AC1803" i="23" s="1"/>
  <c r="AC1804" i="23" s="1"/>
  <c r="AC1805" i="23" s="1"/>
  <c r="AC1806" i="23" s="1"/>
  <c r="AC1807" i="23" s="1"/>
  <c r="AC1808" i="23" s="1"/>
  <c r="AC1809" i="23" s="1"/>
  <c r="AC1810" i="23" s="1"/>
  <c r="AC1811" i="23" s="1"/>
  <c r="AC1812" i="23" s="1"/>
  <c r="AC1813" i="23" s="1"/>
  <c r="AC1814" i="23" s="1"/>
  <c r="AC1815" i="23" s="1"/>
  <c r="AC1816" i="23" s="1"/>
  <c r="AC1817" i="23" s="1"/>
  <c r="AC1818" i="23" s="1"/>
  <c r="AC1819" i="23" s="1"/>
  <c r="AC1820" i="23" s="1"/>
  <c r="AC1821" i="23" s="1"/>
  <c r="AC1822" i="23" s="1"/>
  <c r="AC1823" i="23" s="1"/>
  <c r="AC1824" i="23" s="1"/>
  <c r="AC1825" i="23" s="1"/>
  <c r="AC1826" i="23" s="1"/>
  <c r="AC1827" i="23" s="1"/>
  <c r="AC1828" i="23" s="1"/>
  <c r="AC1829" i="23" s="1"/>
  <c r="AC1832" i="23" s="1"/>
  <c r="AC1833" i="23" s="1"/>
  <c r="AC1834" i="23" s="1"/>
  <c r="AC1835" i="23" s="1"/>
  <c r="AC1836" i="23" s="1"/>
  <c r="AC1837" i="23" s="1"/>
  <c r="AC1838" i="23" s="1"/>
  <c r="AC1839" i="23" s="1"/>
  <c r="AC1840" i="23" s="1"/>
  <c r="AC1841" i="23" s="1"/>
  <c r="AC1874" i="23" s="1"/>
  <c r="AC1875" i="23" s="1"/>
  <c r="AC1876" i="23" s="1"/>
  <c r="AC1877" i="23" s="1"/>
  <c r="AC1878" i="23" s="1"/>
  <c r="AC1879" i="23" s="1"/>
  <c r="AC1880" i="23" s="1"/>
  <c r="AC1881" i="23" s="1"/>
  <c r="AC1882" i="23" s="1"/>
  <c r="AC1883" i="23" s="1"/>
  <c r="AC1884" i="23" s="1"/>
  <c r="AC1885" i="23" s="1"/>
  <c r="AC1886" i="23" s="1"/>
  <c r="AC1887" i="23" s="1"/>
  <c r="AC1888" i="23" s="1"/>
  <c r="AC1889" i="23" s="1"/>
  <c r="AC1890" i="23" s="1"/>
  <c r="AC1891" i="23" s="1"/>
  <c r="AC1892" i="23" s="1"/>
  <c r="AC1893" i="23" s="1"/>
  <c r="AC1894" i="23" s="1"/>
  <c r="AC1895" i="23" s="1"/>
  <c r="AC1896" i="23" s="1"/>
  <c r="AC1897" i="23" s="1"/>
  <c r="AC1898" i="23" s="1"/>
  <c r="AC1899" i="23" s="1"/>
  <c r="AC1900" i="23" s="1"/>
  <c r="AC1901" i="23" s="1"/>
  <c r="AC1902" i="23" s="1"/>
  <c r="AC1903" i="23" s="1"/>
  <c r="AC1904" i="23" s="1"/>
  <c r="AC1905" i="23" s="1"/>
  <c r="AC1906" i="23" s="1"/>
  <c r="AC1907" i="23" s="1"/>
  <c r="AC1908" i="23" s="1"/>
  <c r="AC1909" i="23" s="1"/>
  <c r="AC1910" i="23" s="1"/>
  <c r="AC1911" i="23" s="1"/>
  <c r="AC1912" i="23" s="1"/>
  <c r="AC1913" i="23" s="1"/>
  <c r="AC1914" i="23" s="1"/>
  <c r="AC1915" i="23" s="1"/>
  <c r="AC1916" i="23" s="1"/>
  <c r="AC1917" i="23" s="1"/>
  <c r="AC1918" i="23" s="1"/>
  <c r="AC1919" i="23" s="1"/>
  <c r="AC1920" i="23" s="1"/>
  <c r="AC1921" i="23" s="1"/>
  <c r="AC1922" i="23" s="1"/>
  <c r="AC1923" i="23" s="1"/>
  <c r="AC1924" i="23" s="1"/>
  <c r="AC1925" i="23" s="1"/>
  <c r="AC1926" i="23" s="1"/>
  <c r="AC1927" i="23" s="1"/>
  <c r="AC1928" i="23" s="1"/>
  <c r="AC1929" i="23" s="1"/>
  <c r="AC1930" i="23" s="1"/>
  <c r="AC1931" i="23" s="1"/>
  <c r="AC1932" i="23" s="1"/>
  <c r="AC1933" i="23" s="1"/>
  <c r="AC1934" i="23" s="1"/>
  <c r="AC1935" i="23" s="1"/>
  <c r="AC1936" i="23" s="1"/>
  <c r="AC1937" i="23" s="1"/>
  <c r="AC1938" i="23" s="1"/>
  <c r="AC1939" i="23" s="1"/>
  <c r="AC1940" i="23" s="1"/>
  <c r="AC1941" i="23" s="1"/>
  <c r="AC1942" i="23" s="1"/>
  <c r="AC1943" i="23" s="1"/>
  <c r="AC1944" i="23" s="1"/>
  <c r="AC1945" i="23" s="1"/>
  <c r="AC1946" i="23" s="1"/>
  <c r="AC1947" i="23" s="1"/>
  <c r="AC1948" i="23" s="1"/>
  <c r="AC1949" i="23" s="1"/>
  <c r="AC1950" i="23" s="1"/>
  <c r="AC1951" i="23" s="1"/>
  <c r="AC1952" i="23" s="1"/>
  <c r="AC1953" i="23" s="1"/>
  <c r="AC1954" i="23" s="1"/>
  <c r="AC1955" i="23" s="1"/>
  <c r="AC1956" i="23" s="1"/>
  <c r="AC1957" i="23" s="1"/>
  <c r="AC1958" i="23" s="1"/>
  <c r="AC1959" i="23" s="1"/>
  <c r="AC1960" i="23" s="1"/>
  <c r="AC1961" i="23" s="1"/>
  <c r="AC1962" i="23" s="1"/>
  <c r="AC1963" i="23" s="1"/>
  <c r="AC1964" i="23" s="1"/>
  <c r="AC1965" i="23" s="1"/>
  <c r="AC1966" i="23" s="1"/>
  <c r="AC1967" i="23" s="1"/>
  <c r="AC1968" i="23" s="1"/>
  <c r="AC1969" i="23" s="1"/>
  <c r="AC1970" i="23" s="1"/>
  <c r="AC1971" i="23" s="1"/>
  <c r="AC1972" i="23" s="1"/>
  <c r="AC1973" i="23" s="1"/>
  <c r="AC1974" i="23" s="1"/>
  <c r="AC1975" i="23" s="1"/>
  <c r="AC1976" i="23" s="1"/>
  <c r="AC1977" i="23" s="1"/>
  <c r="AC1978" i="23" s="1"/>
  <c r="AC1979" i="23" s="1"/>
  <c r="AC1980" i="23" s="1"/>
  <c r="AC1981" i="23" s="1"/>
  <c r="AC1982" i="23" s="1"/>
  <c r="AC1983" i="23" s="1"/>
  <c r="AC1984" i="23" s="1"/>
  <c r="AC1985" i="23" s="1"/>
  <c r="AC1919" i="24"/>
  <c r="AC2037" i="23" l="1"/>
  <c r="AC2038" i="23" s="1"/>
  <c r="AC2039" i="23" s="1"/>
  <c r="AC2040" i="23" s="1"/>
  <c r="AC2041" i="23" s="1"/>
  <c r="AC2042" i="23" s="1"/>
  <c r="AC2043" i="23" s="1"/>
  <c r="AC2044" i="23" s="1"/>
  <c r="AC2045" i="23" s="1"/>
  <c r="AC2046" i="23" s="1"/>
  <c r="AC2047" i="23" s="1"/>
  <c r="AC2048" i="23" s="1"/>
  <c r="AC2049" i="23" s="1"/>
  <c r="AC2050" i="23" s="1"/>
  <c r="AC2051" i="23" s="1"/>
  <c r="AC2052" i="23" s="1"/>
  <c r="AC2053" i="23" s="1"/>
  <c r="AC2054" i="23" s="1"/>
  <c r="AC2055" i="23" s="1"/>
  <c r="AC2056" i="23" s="1"/>
  <c r="AC2057" i="23" s="1"/>
  <c r="AC2058" i="23" s="1"/>
  <c r="AC2059" i="23" s="1"/>
  <c r="AC2060" i="23" s="1"/>
  <c r="AC2061" i="23" s="1"/>
  <c r="AC2062" i="23" s="1"/>
  <c r="AC2063" i="23" s="1"/>
  <c r="AC2064" i="23" s="1"/>
  <c r="AC2065" i="23" s="1"/>
  <c r="AC2066" i="23" s="1"/>
  <c r="AC2067" i="23" s="1"/>
  <c r="AC2068" i="23" s="1"/>
  <c r="AC2069" i="23" s="1"/>
  <c r="AC2070" i="23" s="1"/>
  <c r="AC2071" i="23" s="1"/>
  <c r="AC2072" i="23" s="1"/>
  <c r="AC2073" i="23" s="1"/>
  <c r="AC2074" i="23" s="1"/>
  <c r="AC2075" i="23" s="1"/>
  <c r="AC2076" i="23" s="1"/>
  <c r="AC2077" i="23" s="1"/>
  <c r="AC2078" i="23" s="1"/>
  <c r="AC2079" i="23" s="1"/>
  <c r="AC2080" i="23" s="1"/>
  <c r="AC2081" i="23" s="1"/>
  <c r="AC2082" i="23" s="1"/>
  <c r="AC2083" i="23" s="1"/>
  <c r="AC2084" i="23" s="1"/>
  <c r="AC2085" i="23" s="1"/>
  <c r="AC2086" i="23" s="1"/>
  <c r="AC2087" i="23" s="1"/>
  <c r="AC2088" i="23" s="1"/>
  <c r="AC2089" i="23" s="1"/>
  <c r="AC2090" i="23" s="1"/>
  <c r="AC2091" i="23" s="1"/>
  <c r="AC2092" i="23" s="1"/>
  <c r="AC2096" i="23" s="1"/>
  <c r="AC2097" i="23" s="1"/>
  <c r="AC2098" i="23" s="1"/>
  <c r="AC2099" i="23" s="1"/>
  <c r="AC2100" i="23" s="1"/>
  <c r="AC2101" i="23" s="1"/>
  <c r="AC2102" i="23" s="1"/>
  <c r="AC2103" i="23" s="1"/>
  <c r="AC2104" i="23" s="1"/>
  <c r="AC2105" i="23" s="1"/>
  <c r="AC2106" i="23" s="1"/>
  <c r="AC2107" i="23" s="1"/>
  <c r="AC2108" i="23" s="1"/>
  <c r="AC2109" i="23" s="1"/>
  <c r="AC2110" i="23" s="1"/>
  <c r="AC2111" i="23" s="1"/>
  <c r="AC2112" i="23" s="1"/>
  <c r="AC2113" i="23" s="1"/>
  <c r="AC2114" i="23" s="1"/>
  <c r="AC2115" i="23" s="1"/>
  <c r="AC2116" i="23" s="1"/>
  <c r="AC2117" i="23" s="1"/>
  <c r="AC2118" i="23" s="1"/>
  <c r="AC2119" i="23" s="1"/>
  <c r="AC2120" i="23" s="1"/>
  <c r="AC2121" i="23" s="1"/>
  <c r="AC2122" i="23" s="1"/>
  <c r="AC2123" i="23" s="1"/>
  <c r="AC2124" i="23" s="1"/>
  <c r="AC2125" i="23" s="1"/>
  <c r="AC2126" i="23" s="1"/>
  <c r="AC2127" i="23" s="1"/>
  <c r="AC2128" i="23" s="1"/>
  <c r="AC2129" i="23" s="1"/>
  <c r="AC2130" i="23" s="1"/>
  <c r="AC2131" i="23" s="1"/>
  <c r="AC2132" i="23" s="1"/>
  <c r="AC2133" i="23" s="1"/>
  <c r="AC2134" i="23" s="1"/>
  <c r="AC2135" i="23" s="1"/>
  <c r="AC2136" i="23" s="1"/>
  <c r="AC2137" i="23" s="1"/>
  <c r="AC2138" i="23" s="1"/>
  <c r="AC2139" i="23" s="1"/>
  <c r="AC2140" i="23" s="1"/>
  <c r="AC2141" i="23" s="1"/>
  <c r="AC2142" i="23" s="1"/>
  <c r="AC2143" i="23" s="1"/>
  <c r="AC2144" i="23" s="1"/>
  <c r="AC2145" i="23" s="1"/>
  <c r="AC2146" i="23" s="1"/>
  <c r="AC2147" i="23" s="1"/>
  <c r="AC2148" i="23" s="1"/>
  <c r="AC2149" i="23" s="1"/>
  <c r="AC2150" i="23" s="1"/>
  <c r="AC2151" i="23" s="1"/>
  <c r="AC2152" i="23" s="1"/>
  <c r="AC2153" i="23" s="1"/>
  <c r="AC2154" i="23" s="1"/>
  <c r="AC2155" i="23" s="1"/>
  <c r="AC2156" i="23" s="1"/>
  <c r="AC2157" i="23" s="1"/>
  <c r="AC2158" i="23" s="1"/>
  <c r="AC2159" i="23" s="1"/>
  <c r="AC2160" i="23" s="1"/>
  <c r="AC2161" i="23" s="1"/>
  <c r="AC2162" i="23" s="1"/>
  <c r="AC2163" i="23" s="1"/>
  <c r="AC2164" i="23" s="1"/>
  <c r="AC2165" i="23" s="1"/>
  <c r="AC2166" i="23" s="1"/>
  <c r="AC2167" i="23" s="1"/>
  <c r="AC2168" i="23" s="1"/>
  <c r="AC2169" i="23" s="1"/>
  <c r="AC2170" i="23" s="1"/>
  <c r="AC2171" i="23" s="1"/>
  <c r="AC2172" i="23" s="1"/>
  <c r="AC2173" i="23" s="1"/>
  <c r="AC2174" i="23" s="1"/>
  <c r="AC2175" i="23" s="1"/>
  <c r="AC2176" i="23" s="1"/>
  <c r="AC2177" i="23" s="1"/>
  <c r="AC2178" i="23" s="1"/>
  <c r="AC2179" i="23" s="1"/>
  <c r="AC2180" i="23" s="1"/>
  <c r="AC2181" i="23" s="1"/>
  <c r="AC2182" i="23" s="1"/>
  <c r="AC2183" i="23" s="1"/>
  <c r="AC2184" i="23" s="1"/>
  <c r="AC2185" i="23" s="1"/>
  <c r="AC2186" i="23" s="1"/>
  <c r="AC2187" i="23" s="1"/>
  <c r="AC2188" i="23" s="1"/>
  <c r="AC2189" i="23" s="1"/>
  <c r="AC2190" i="23" s="1"/>
  <c r="AC2191" i="23" s="1"/>
  <c r="AC2192" i="23" s="1"/>
  <c r="AC2193" i="23" s="1"/>
  <c r="AC2194" i="23" s="1"/>
  <c r="AC2195" i="23" s="1"/>
  <c r="AC2196" i="23" s="1"/>
  <c r="AC2197" i="23" s="1"/>
  <c r="AC2293" i="23"/>
  <c r="AC2294" i="23" s="1"/>
  <c r="AC2295" i="23" s="1"/>
  <c r="AC2296" i="23" s="1"/>
  <c r="AC2297" i="23" s="1"/>
  <c r="AC2298" i="23" s="1"/>
  <c r="AC2299" i="23" s="1"/>
  <c r="AC2300" i="23" s="1"/>
  <c r="AC2301" i="23" s="1"/>
  <c r="AC2302" i="23" s="1"/>
  <c r="AC2303" i="23" s="1"/>
  <c r="AC2304" i="23" s="1"/>
  <c r="AC2305" i="23" s="1"/>
  <c r="AC2306" i="23" s="1"/>
  <c r="AC2307" i="23" s="1"/>
  <c r="AC2308" i="23" s="1"/>
  <c r="AC2309" i="23" s="1"/>
  <c r="AC2310" i="23" s="1"/>
  <c r="AC2311" i="23" s="1"/>
  <c r="AC2312" i="23" s="1"/>
  <c r="AC2313" i="23" s="1"/>
  <c r="AC2314" i="23" s="1"/>
  <c r="AC2315" i="23" s="1"/>
  <c r="AC2316" i="23" s="1"/>
  <c r="AC2317" i="23" s="1"/>
  <c r="AC2318" i="23" s="1"/>
  <c r="AC2319" i="23" s="1"/>
  <c r="AC2320" i="23" s="1"/>
  <c r="AC2321" i="23" s="1"/>
  <c r="AC2322" i="23" s="1"/>
  <c r="AC2323" i="23" s="1"/>
  <c r="AC2324" i="23" s="1"/>
  <c r="AC2325" i="23" s="1"/>
  <c r="AC2326" i="23" s="1"/>
  <c r="AC2327" i="23" s="1"/>
  <c r="AC2328" i="23" s="1"/>
  <c r="AC2329" i="23" s="1"/>
  <c r="AC1920" i="24"/>
  <c r="AC2198" i="23" l="1"/>
  <c r="AC2199" i="23" s="1"/>
  <c r="AC2331" i="23"/>
  <c r="AC2332" i="23" s="1"/>
  <c r="AC2330" i="23"/>
  <c r="AC1921" i="24"/>
  <c r="AC2200" i="23" l="1"/>
  <c r="AC1922" i="24"/>
  <c r="AC2340" i="23"/>
  <c r="AC2201" i="23" l="1"/>
  <c r="AC2202" i="23" s="1"/>
  <c r="AC2467" i="23"/>
  <c r="AC2468" i="23" s="1"/>
  <c r="AC2469" i="23" s="1"/>
  <c r="AC2470" i="23" s="1"/>
  <c r="AC2471" i="23" s="1"/>
  <c r="AC2472" i="23" s="1"/>
  <c r="AC2473" i="23" s="1"/>
  <c r="AC2474" i="23" s="1"/>
  <c r="AC2475" i="23" s="1"/>
  <c r="AC2476" i="23" s="1"/>
  <c r="AC2477" i="23" s="1"/>
  <c r="AC2478" i="23" s="1"/>
  <c r="AC2479" i="23" s="1"/>
  <c r="AC2480" i="23" s="1"/>
  <c r="AC1923" i="24"/>
  <c r="AC2203" i="23" l="1"/>
  <c r="AC2204" i="23" s="1"/>
  <c r="AC2205" i="23" s="1"/>
  <c r="AC2206" i="23" s="1"/>
  <c r="AC2207" i="23" s="1"/>
  <c r="AC2208" i="23" s="1"/>
  <c r="AC2209" i="23" s="1"/>
  <c r="AC2210" i="23" s="1"/>
  <c r="AC2211" i="23" s="1"/>
  <c r="AC2212" i="23" s="1"/>
  <c r="AC2213" i="23" s="1"/>
  <c r="AC2214" i="23" s="1"/>
  <c r="AC2215" i="23" s="1"/>
  <c r="AC2216" i="23" s="1"/>
  <c r="AC2217" i="23" s="1"/>
  <c r="AC2218" i="23" s="1"/>
  <c r="AC2219" i="23" s="1"/>
  <c r="AC2220" i="23" s="1"/>
  <c r="AC2221" i="23" s="1"/>
  <c r="AC2222" i="23" s="1"/>
  <c r="AC2223" i="23" s="1"/>
  <c r="AC2224" i="23" s="1"/>
  <c r="AC2225" i="23" s="1"/>
  <c r="AC2226" i="23" s="1"/>
  <c r="AC2227" i="23" s="1"/>
  <c r="AC2228" i="23" s="1"/>
  <c r="AC2229" i="23" s="1"/>
  <c r="AC2230" i="23" s="1"/>
  <c r="AC2231" i="23" s="1"/>
  <c r="AC2232" i="23" s="1"/>
  <c r="AC2233" i="23" s="1"/>
  <c r="AC2234" i="23" s="1"/>
  <c r="AC2235" i="23" s="1"/>
  <c r="AC2236" i="23" s="1"/>
  <c r="AC2237" i="23" s="1"/>
  <c r="AC2238" i="23" s="1"/>
  <c r="AC2239" i="23" s="1"/>
  <c r="AC2240" i="23" s="1"/>
  <c r="AC2241" i="23" s="1"/>
  <c r="AC2242" i="23" s="1"/>
  <c r="AC2243" i="23" s="1"/>
  <c r="AC2244" i="23" s="1"/>
  <c r="AC2245" i="23" s="1"/>
  <c r="AC2246" i="23" s="1"/>
  <c r="AC2247" i="23" s="1"/>
  <c r="AC2248" i="23" s="1"/>
  <c r="AC2249" i="23" s="1"/>
  <c r="AC2250" i="23" s="1"/>
  <c r="AC2251" i="23" s="1"/>
  <c r="AC2252" i="23" s="1"/>
  <c r="AC2253" i="23" s="1"/>
  <c r="AC2254" i="23" s="1"/>
  <c r="AC2255" i="23" s="1"/>
  <c r="AC2256" i="23" s="1"/>
  <c r="AC2257" i="23" s="1"/>
  <c r="AC2258" i="23" s="1"/>
  <c r="AC2259" i="23" s="1"/>
  <c r="AC2260" i="23" s="1"/>
  <c r="AC2261" i="23" s="1"/>
  <c r="AC2262" i="23" s="1"/>
  <c r="AC2263" i="23" s="1"/>
  <c r="AC2264" i="23" s="1"/>
  <c r="AC2265" i="23" s="1"/>
  <c r="AC2266" i="23" s="1"/>
  <c r="AC2267" i="23" s="1"/>
  <c r="AC2268" i="23" s="1"/>
  <c r="AC2269" i="23" s="1"/>
  <c r="AC2270" i="23" s="1"/>
  <c r="AC2271" i="23" s="1"/>
  <c r="AC2272" i="23" s="1"/>
  <c r="AC2273" i="23" s="1"/>
  <c r="AC2274" i="23" s="1"/>
  <c r="AC2275" i="23" s="1"/>
  <c r="AC2276" i="23" s="1"/>
  <c r="AC2277" i="23" s="1"/>
  <c r="AC2278" i="23" s="1"/>
  <c r="AC2279" i="23" s="1"/>
  <c r="AC2280" i="23" s="1"/>
  <c r="AC2281" i="23" s="1"/>
  <c r="AC2282" i="23" s="1"/>
  <c r="AC2283" i="23" s="1"/>
  <c r="AC2284" i="23" s="1"/>
  <c r="AC2285" i="23" s="1"/>
  <c r="AC2286" i="23" s="1"/>
  <c r="AC2287" i="23" s="1"/>
  <c r="AC2288" i="23" s="1"/>
  <c r="AC2289" i="23" s="1"/>
  <c r="AC2290" i="23" s="1"/>
  <c r="AC2291" i="23" s="1"/>
  <c r="AC2292" i="23" s="1"/>
  <c r="AC2590" i="23"/>
  <c r="AC2591" i="23" s="1"/>
  <c r="AC2592" i="23" s="1"/>
  <c r="AC1924" i="24"/>
  <c r="AC2341" i="23" l="1"/>
  <c r="AC2342" i="23" s="1"/>
  <c r="AC2343" i="23" s="1"/>
  <c r="AC2344" i="23" s="1"/>
  <c r="AC2345" i="23" s="1"/>
  <c r="AC2346" i="23" s="1"/>
  <c r="AC2347" i="23" s="1"/>
  <c r="AC2348" i="23" s="1"/>
  <c r="AC2349" i="23" s="1"/>
  <c r="AC2350" i="23" s="1"/>
  <c r="AC2351" i="23" s="1"/>
  <c r="AC2352" i="23" s="1"/>
  <c r="AC2353" i="23" s="1"/>
  <c r="AC2354" i="23" s="1"/>
  <c r="AC2355" i="23" s="1"/>
  <c r="AC2356" i="23" s="1"/>
  <c r="AC2357" i="23" s="1"/>
  <c r="AC2358" i="23" s="1"/>
  <c r="AC2359" i="23" s="1"/>
  <c r="AC2360" i="23" s="1"/>
  <c r="AC2361" i="23" s="1"/>
  <c r="AC2362" i="23" s="1"/>
  <c r="AC2363" i="23" s="1"/>
  <c r="AC2364" i="23" s="1"/>
  <c r="AC2365" i="23" s="1"/>
  <c r="AC2366" i="23" s="1"/>
  <c r="AC2367" i="23" s="1"/>
  <c r="AC2368" i="23" s="1"/>
  <c r="AC2369" i="23" s="1"/>
  <c r="AC2370" i="23" s="1"/>
  <c r="AC2371" i="23" s="1"/>
  <c r="AC2372" i="23" s="1"/>
  <c r="AC2373" i="23" s="1"/>
  <c r="AC2374" i="23" s="1"/>
  <c r="AC2375" i="23" s="1"/>
  <c r="AC2376" i="23" s="1"/>
  <c r="AC2377" i="23" s="1"/>
  <c r="AC2378" i="23" s="1"/>
  <c r="AC2379" i="23" s="1"/>
  <c r="AC2380" i="23" s="1"/>
  <c r="AC2381" i="23" s="1"/>
  <c r="AC2382" i="23" s="1"/>
  <c r="AC2383" i="23" s="1"/>
  <c r="AC2384" i="23" s="1"/>
  <c r="AC2385" i="23" s="1"/>
  <c r="AC2386" i="23" s="1"/>
  <c r="AC2387" i="23" s="1"/>
  <c r="AC2388" i="23" s="1"/>
  <c r="AC2389" i="23" s="1"/>
  <c r="AC2390" i="23" s="1"/>
  <c r="AC2391" i="23" s="1"/>
  <c r="AC2392" i="23" s="1"/>
  <c r="AC2393" i="23" s="1"/>
  <c r="AC2394" i="23" s="1"/>
  <c r="AC2395" i="23" s="1"/>
  <c r="AC2396" i="23" s="1"/>
  <c r="AC2397" i="23" s="1"/>
  <c r="AC2398" i="23" s="1"/>
  <c r="AC2399" i="23" s="1"/>
  <c r="AC2400" i="23" s="1"/>
  <c r="AC2401" i="23" s="1"/>
  <c r="AC2402" i="23" s="1"/>
  <c r="AC2403" i="23" s="1"/>
  <c r="AC2404" i="23" s="1"/>
  <c r="AC2405" i="23" s="1"/>
  <c r="AC2406" i="23" s="1"/>
  <c r="AC2407" i="23" s="1"/>
  <c r="AC2408" i="23" s="1"/>
  <c r="AC2409" i="23" s="1"/>
  <c r="AC2410" i="23" s="1"/>
  <c r="AC2411" i="23" s="1"/>
  <c r="AC2412" i="23" s="1"/>
  <c r="AC2413" i="23" s="1"/>
  <c r="AC2414" i="23" s="1"/>
  <c r="AC2415" i="23" s="1"/>
  <c r="AC2416" i="23" s="1"/>
  <c r="AC2417" i="23" s="1"/>
  <c r="AC2418" i="23" s="1"/>
  <c r="AC2419" i="23" s="1"/>
  <c r="AC2420" i="23" s="1"/>
  <c r="AC2421" i="23" s="1"/>
  <c r="AC2422" i="23" s="1"/>
  <c r="AC2423" i="23" s="1"/>
  <c r="AC2424" i="23" s="1"/>
  <c r="AC2425" i="23" s="1"/>
  <c r="AC2426" i="23" s="1"/>
  <c r="AC2427" i="23" s="1"/>
  <c r="AC2428" i="23" s="1"/>
  <c r="AC2429" i="23" s="1"/>
  <c r="AC2430" i="23" s="1"/>
  <c r="AC2431" i="23" s="1"/>
  <c r="AC2432" i="23" s="1"/>
  <c r="AC2433" i="23" s="1"/>
  <c r="AC2434" i="23" s="1"/>
  <c r="AC2435" i="23" s="1"/>
  <c r="AC2436" i="23" s="1"/>
  <c r="AC2437" i="23" s="1"/>
  <c r="AC2438" i="23" s="1"/>
  <c r="AC2439" i="23" s="1"/>
  <c r="AC2440" i="23" s="1"/>
  <c r="AC2441" i="23" s="1"/>
  <c r="AC2442" i="23" s="1"/>
  <c r="AC2443" i="23" s="1"/>
  <c r="AC2444" i="23" s="1"/>
  <c r="AC2445" i="23" s="1"/>
  <c r="AC2446" i="23" s="1"/>
  <c r="AC2447" i="23" s="1"/>
  <c r="AC2448" i="23" s="1"/>
  <c r="AC2449" i="23" s="1"/>
  <c r="AC2450" i="23" s="1"/>
  <c r="AC2451" i="23" s="1"/>
  <c r="AC2452" i="23" s="1"/>
  <c r="AC2453" i="23" s="1"/>
  <c r="AC2454" i="23" s="1"/>
  <c r="AC2455" i="23" s="1"/>
  <c r="AC2456" i="23" s="1"/>
  <c r="AC2457" i="23" s="1"/>
  <c r="AC2458" i="23" s="1"/>
  <c r="AC2459" i="23" s="1"/>
  <c r="AC2460" i="23" s="1"/>
  <c r="AC2461" i="23" s="1"/>
  <c r="AC2462" i="23" s="1"/>
  <c r="AC2463" i="23" s="1"/>
  <c r="AC2464" i="23" s="1"/>
  <c r="AC2465" i="23" s="1"/>
  <c r="AC2466" i="23" s="1"/>
  <c r="AC2333" i="23"/>
  <c r="AC2334" i="23" s="1"/>
  <c r="AC2335" i="23" s="1"/>
  <c r="AC2336" i="23" s="1"/>
  <c r="AC2337" i="23" s="1"/>
  <c r="AC2338" i="23" s="1"/>
  <c r="AC2339" i="23" s="1"/>
  <c r="AC1925" i="24"/>
  <c r="AC2624" i="23"/>
  <c r="AC2625" i="23" s="1"/>
  <c r="AC1986" i="24"/>
  <c r="AC1987" i="24" s="1"/>
  <c r="AC2481" i="23" l="1"/>
  <c r="AC2482" i="23" s="1"/>
  <c r="AC2483" i="23" s="1"/>
  <c r="AC2484" i="23" s="1"/>
  <c r="AC2485" i="23" s="1"/>
  <c r="AC2486" i="23" s="1"/>
  <c r="AC2487" i="23" s="1"/>
  <c r="AC2488" i="23" s="1"/>
  <c r="AC2489" i="23" s="1"/>
  <c r="AC2490" i="23" s="1"/>
  <c r="AC2491" i="23" s="1"/>
  <c r="AC2492" i="23" s="1"/>
  <c r="AC2493" i="23" s="1"/>
  <c r="AC2494" i="23" s="1"/>
  <c r="AC2495" i="23" s="1"/>
  <c r="AC2496" i="23" s="1"/>
  <c r="AC2497" i="23" s="1"/>
  <c r="AC2498" i="23" s="1"/>
  <c r="AC2499" i="23" s="1"/>
  <c r="AC2500" i="23" s="1"/>
  <c r="AC2501" i="23" s="1"/>
  <c r="AC2502" i="23" s="1"/>
  <c r="AC2503" i="23" s="1"/>
  <c r="AC2504" i="23" s="1"/>
  <c r="AC2505" i="23" s="1"/>
  <c r="AC2506" i="23" s="1"/>
  <c r="AC2507" i="23" s="1"/>
  <c r="AC2508" i="23" s="1"/>
  <c r="AC2509" i="23" s="1"/>
  <c r="AC2510" i="23" s="1"/>
  <c r="AC2511" i="23" s="1"/>
  <c r="AC2512" i="23" s="1"/>
  <c r="AC2513" i="23" s="1"/>
  <c r="AC2514" i="23" s="1"/>
  <c r="AC2515" i="23" s="1"/>
  <c r="AC2516" i="23" s="1"/>
  <c r="AC2517" i="23" s="1"/>
  <c r="AC2518" i="23" s="1"/>
  <c r="AC2519" i="23" s="1"/>
  <c r="AC2520" i="23" s="1"/>
  <c r="AC2521" i="23" s="1"/>
  <c r="AC2522" i="23" s="1"/>
  <c r="AC2523" i="23" s="1"/>
  <c r="AC2524" i="23" s="1"/>
  <c r="AC2525" i="23" s="1"/>
  <c r="AC2526" i="23" s="1"/>
  <c r="AC2527" i="23" s="1"/>
  <c r="AC2528" i="23" s="1"/>
  <c r="AC2529" i="23" s="1"/>
  <c r="AC2530" i="23" s="1"/>
  <c r="AC2531" i="23" s="1"/>
  <c r="AC2532" i="23" s="1"/>
  <c r="AC2533" i="23" s="1"/>
  <c r="AC2534" i="23" s="1"/>
  <c r="AC2535" i="23" s="1"/>
  <c r="AC2536" i="23" s="1"/>
  <c r="AC2537" i="23" s="1"/>
  <c r="AC2538" i="23" s="1"/>
  <c r="AC2539" i="23" s="1"/>
  <c r="AC2540" i="23" s="1"/>
  <c r="AC2541" i="23" s="1"/>
  <c r="AC2542" i="23" s="1"/>
  <c r="AC2543" i="23" s="1"/>
  <c r="AC2544" i="23" s="1"/>
  <c r="AC2545" i="23" s="1"/>
  <c r="AC2546" i="23" s="1"/>
  <c r="AC2547" i="23" s="1"/>
  <c r="AC2548" i="23" s="1"/>
  <c r="AC2549" i="23" s="1"/>
  <c r="AC2550" i="23" s="1"/>
  <c r="AC2551" i="23" s="1"/>
  <c r="AC2552" i="23" s="1"/>
  <c r="AC2553" i="23" s="1"/>
  <c r="AC2554" i="23" s="1"/>
  <c r="AC2555" i="23" s="1"/>
  <c r="AC2556" i="23" s="1"/>
  <c r="AC2557" i="23" s="1"/>
  <c r="AC2558" i="23" s="1"/>
  <c r="AC2559" i="23" s="1"/>
  <c r="AC2560" i="23" s="1"/>
  <c r="AC2561" i="23" s="1"/>
  <c r="AC2562" i="23" s="1"/>
  <c r="AC2563" i="23" s="1"/>
  <c r="AC2564" i="23" s="1"/>
  <c r="AC2565" i="23" s="1"/>
  <c r="AC2566" i="23" s="1"/>
  <c r="AC2567" i="23" s="1"/>
  <c r="AC2568" i="23" s="1"/>
  <c r="AC2569" i="23" s="1"/>
  <c r="AC2570" i="23" s="1"/>
  <c r="AC2571" i="23" s="1"/>
  <c r="AC2572" i="23" s="1"/>
  <c r="AC2573" i="23" s="1"/>
  <c r="AC2574" i="23" s="1"/>
  <c r="AC2575" i="23" s="1"/>
  <c r="AC2576" i="23" s="1"/>
  <c r="AC2577" i="23" s="1"/>
  <c r="AC2578" i="23" s="1"/>
  <c r="AC2579" i="23" s="1"/>
  <c r="AC2580" i="23" s="1"/>
  <c r="AC2581" i="23" s="1"/>
  <c r="AC2582" i="23" s="1"/>
  <c r="AC2583" i="23" s="1"/>
  <c r="AC2584" i="23" s="1"/>
  <c r="AC2585" i="23" s="1"/>
  <c r="AC2586" i="23" s="1"/>
  <c r="AC2587" i="23" s="1"/>
  <c r="AC2588" i="23" s="1"/>
  <c r="AC2589" i="23" s="1"/>
  <c r="AC1926" i="24"/>
  <c r="AC2651" i="23"/>
  <c r="AC2652" i="23" s="1"/>
  <c r="AC2653" i="23" s="1"/>
  <c r="AC2654" i="23" s="1"/>
  <c r="AC2655" i="23" s="1"/>
  <c r="AC2656" i="23" s="1"/>
  <c r="AC2657" i="23" s="1"/>
  <c r="AC1988" i="24"/>
  <c r="AC1989" i="24" s="1"/>
  <c r="AC1990" i="24" s="1"/>
  <c r="AC1991" i="24" s="1"/>
  <c r="AC1992" i="24" s="1"/>
  <c r="AC1993" i="24" s="1"/>
  <c r="AC1994" i="24" s="1"/>
  <c r="AC1995" i="24" s="1"/>
  <c r="AC1996" i="24" s="1"/>
  <c r="AC1997" i="24" s="1"/>
  <c r="AC1998" i="24" s="1"/>
  <c r="AC1999" i="24" s="1"/>
  <c r="AC2000" i="24" s="1"/>
  <c r="AC2001" i="24" s="1"/>
  <c r="AC2002" i="24" s="1"/>
  <c r="AC2003" i="24" s="1"/>
  <c r="AC2004" i="24" s="1"/>
  <c r="AC2593" i="23" l="1"/>
  <c r="AC2594" i="23" s="1"/>
  <c r="AC2595" i="23" s="1"/>
  <c r="AC2596" i="23" s="1"/>
  <c r="AC2597" i="23" s="1"/>
  <c r="AC2598" i="23" s="1"/>
  <c r="AC2599" i="23" s="1"/>
  <c r="AC2600" i="23" s="1"/>
  <c r="AC2601" i="23" s="1"/>
  <c r="AC2602" i="23" s="1"/>
  <c r="AC2603" i="23" s="1"/>
  <c r="AC2604" i="23" s="1"/>
  <c r="AC2605" i="23" s="1"/>
  <c r="AC2606" i="23" s="1"/>
  <c r="AC2607" i="23" s="1"/>
  <c r="AC2608" i="23" s="1"/>
  <c r="AC2609" i="23" s="1"/>
  <c r="AC2610" i="23" s="1"/>
  <c r="AC2611" i="23" s="1"/>
  <c r="AC2612" i="23" s="1"/>
  <c r="AC2613" i="23" s="1"/>
  <c r="AC2614" i="23" s="1"/>
  <c r="AC2615" i="23" s="1"/>
  <c r="AC2616" i="23" s="1"/>
  <c r="AC2617" i="23" s="1"/>
  <c r="AC2618" i="23" s="1"/>
  <c r="AC2619" i="23" s="1"/>
  <c r="AC2620" i="23" s="1"/>
  <c r="AC2621" i="23" s="1"/>
  <c r="AC2622" i="23" s="1"/>
  <c r="AC2623" i="23" s="1"/>
  <c r="AC1927" i="24"/>
  <c r="AC2005" i="24"/>
  <c r="AC2006" i="24" s="1"/>
  <c r="AC2007" i="24" s="1"/>
  <c r="AC2008" i="24" s="1"/>
  <c r="AC2009" i="24" s="1"/>
  <c r="AC2010" i="24" s="1"/>
  <c r="AC2011" i="24" s="1"/>
  <c r="AC2012" i="24" s="1"/>
  <c r="AC2013" i="24" s="1"/>
  <c r="AC2014" i="24" s="1"/>
  <c r="AC2015" i="24" s="1"/>
  <c r="AC2016" i="24" s="1"/>
  <c r="AC2017" i="24" s="1"/>
  <c r="AC2018" i="24" s="1"/>
  <c r="AC2019" i="24" s="1"/>
  <c r="AC2020" i="24" s="1"/>
  <c r="AC2021" i="24" s="1"/>
  <c r="AC2022" i="24" s="1"/>
  <c r="AC2023" i="24" s="1"/>
  <c r="AC2626" i="23" l="1"/>
  <c r="AC1928" i="24"/>
  <c r="AC2065" i="24"/>
  <c r="AC2066" i="24" s="1"/>
  <c r="AC2067" i="24" s="1"/>
  <c r="AC2068" i="24" s="1"/>
  <c r="AC2069" i="24" s="1"/>
  <c r="AC2070" i="24" s="1"/>
  <c r="AC2071" i="24" s="1"/>
  <c r="AC2627" i="23" l="1"/>
  <c r="AC2628" i="23" s="1"/>
  <c r="AC2629" i="23" s="1"/>
  <c r="AC2630" i="23" s="1"/>
  <c r="AC2631" i="23" s="1"/>
  <c r="AC2632" i="23" s="1"/>
  <c r="AC2633" i="23" s="1"/>
  <c r="AC2634" i="23" s="1"/>
  <c r="AC2635" i="23" s="1"/>
  <c r="AC2636" i="23" s="1"/>
  <c r="AC2637" i="23" s="1"/>
  <c r="AC2638" i="23" s="1"/>
  <c r="AC2639" i="23" s="1"/>
  <c r="AC2640" i="23" s="1"/>
  <c r="AC2641" i="23" s="1"/>
  <c r="AC2642" i="23" s="1"/>
  <c r="AC2643" i="23" s="1"/>
  <c r="AC2644" i="23" s="1"/>
  <c r="AC2645" i="23" s="1"/>
  <c r="AC2646" i="23" s="1"/>
  <c r="AC2647" i="23" s="1"/>
  <c r="AC2648" i="23" s="1"/>
  <c r="AC2649" i="23" s="1"/>
  <c r="AC2650" i="23" s="1"/>
  <c r="AC2658" i="23"/>
  <c r="AC1929" i="24"/>
  <c r="AC2093" i="24"/>
  <c r="AC2094" i="24" s="1"/>
  <c r="AC2095" i="24" s="1"/>
  <c r="AC2659" i="23" l="1"/>
  <c r="AC2660" i="23" s="1"/>
  <c r="AC2661" i="23" s="1"/>
  <c r="AC2662" i="23" s="1"/>
  <c r="AC2663" i="23" s="1"/>
  <c r="AC2664" i="23" s="1"/>
  <c r="AC2665" i="23" s="1"/>
  <c r="AC2666" i="23" s="1"/>
  <c r="AC2667" i="23" s="1"/>
  <c r="AC2668" i="23" s="1"/>
  <c r="AC2669" i="23" s="1"/>
  <c r="AC2670" i="23" s="1"/>
  <c r="AC2671" i="23" s="1"/>
  <c r="AC2672" i="23" s="1"/>
  <c r="AC2673" i="23" s="1"/>
  <c r="AC2674" i="23" s="1"/>
  <c r="AC2675" i="23" s="1"/>
  <c r="AC2676" i="23" s="1"/>
  <c r="AC2677" i="23" s="1"/>
  <c r="AC2678" i="23" s="1"/>
  <c r="AC2679" i="23" s="1"/>
  <c r="AC2680" i="23" s="1"/>
  <c r="AC2681" i="23" s="1"/>
  <c r="AC2682" i="23" s="1"/>
  <c r="AC2683" i="23" s="1"/>
  <c r="AC2684" i="23" s="1"/>
  <c r="AC2685" i="23" s="1"/>
  <c r="AC2686" i="23" s="1"/>
  <c r="AC2687" i="23" s="1"/>
  <c r="AC2688" i="23" s="1"/>
  <c r="AC2689" i="23" s="1"/>
  <c r="AC2690" i="23" s="1"/>
  <c r="AC2691" i="23" s="1"/>
  <c r="AC2692" i="23" s="1"/>
  <c r="AC2693" i="23" s="1"/>
  <c r="AC2694" i="23" s="1"/>
  <c r="AC2695" i="23" s="1"/>
  <c r="AC2696" i="23" s="1"/>
  <c r="AC2697" i="23" s="1"/>
  <c r="AC2698" i="23" s="1"/>
  <c r="AC2699" i="23" s="1"/>
  <c r="AC2700" i="23" s="1"/>
  <c r="AC2701" i="23" s="1"/>
  <c r="AC2702" i="23" s="1"/>
  <c r="AC2703" i="23" s="1"/>
  <c r="AC2704" i="23" s="1"/>
  <c r="AC2705" i="23" s="1"/>
  <c r="AC2706" i="23" s="1"/>
  <c r="AC2707" i="23" s="1"/>
  <c r="AC2708" i="23" s="1"/>
  <c r="AC2709" i="23" s="1"/>
  <c r="AC2710" i="23" s="1"/>
  <c r="AC2711" i="23" s="1"/>
  <c r="AC2712" i="23" s="1"/>
  <c r="AC2713" i="23" s="1"/>
  <c r="AC2714" i="23" s="1"/>
  <c r="AC2715" i="23" s="1"/>
  <c r="AC2716" i="23" s="1"/>
  <c r="AC2717" i="23" s="1"/>
  <c r="AC2718" i="23" s="1"/>
  <c r="AC2719" i="23" s="1"/>
  <c r="AC2720" i="23" s="1"/>
  <c r="AC2721" i="23" s="1"/>
  <c r="AC2722" i="23" s="1"/>
  <c r="AC2723" i="23" s="1"/>
  <c r="AC2724" i="23" s="1"/>
  <c r="AC2725" i="23" s="1"/>
  <c r="AC2726" i="23" s="1"/>
  <c r="AC2727" i="23" s="1"/>
  <c r="AC2728" i="23" s="1"/>
  <c r="AC2729" i="23" s="1"/>
  <c r="AC2730" i="23" s="1"/>
  <c r="AC2731" i="23" s="1"/>
  <c r="AC2732" i="23" s="1"/>
  <c r="AC2733" i="23" s="1"/>
  <c r="AC2734" i="23" s="1"/>
  <c r="AC2735" i="23" s="1"/>
  <c r="AC2736" i="23" s="1"/>
  <c r="AC2737" i="23" s="1"/>
  <c r="AC2738" i="23" s="1"/>
  <c r="AC2739" i="23" s="1"/>
  <c r="AC2740" i="23" s="1"/>
  <c r="AC2741" i="23" s="1"/>
  <c r="AC2742" i="23" s="1"/>
  <c r="AC2743" i="23" s="1"/>
  <c r="AC2744" i="23" s="1"/>
  <c r="AC2745" i="23" s="1"/>
  <c r="AC2746" i="23" s="1"/>
  <c r="AC2747" i="23" s="1"/>
  <c r="AC2748" i="23" s="1"/>
  <c r="AC2749" i="23" s="1"/>
  <c r="AC2750" i="23" s="1"/>
  <c r="AC2751" i="23" s="1"/>
  <c r="AC2752" i="23" s="1"/>
  <c r="AC2753" i="23" s="1"/>
  <c r="AC2754" i="23" s="1"/>
  <c r="AC2755" i="23" s="1"/>
  <c r="AC2756" i="23" s="1"/>
  <c r="AC2757" i="23" s="1"/>
  <c r="AC2758" i="23" s="1"/>
  <c r="AC2759" i="23" s="1"/>
  <c r="AC2760" i="23" s="1"/>
  <c r="AC2761" i="23" s="1"/>
  <c r="AC2762" i="23" s="1"/>
  <c r="AC2763" i="23" s="1"/>
  <c r="AC2764" i="23" s="1"/>
  <c r="AC2765" i="23" s="1"/>
  <c r="AC2766" i="23" s="1"/>
  <c r="AC2767" i="23" s="1"/>
  <c r="AC2768" i="23" s="1"/>
  <c r="AC2769" i="23" s="1"/>
  <c r="AC1930" i="24"/>
  <c r="AC2111" i="24"/>
  <c r="AC2112" i="24" s="1"/>
  <c r="AC2113" i="24" s="1"/>
  <c r="AC2114" i="24" s="1"/>
  <c r="AC2115" i="24" s="1"/>
  <c r="AC2770" i="23" l="1"/>
  <c r="AC1931" i="24"/>
  <c r="AC2171" i="24"/>
  <c r="AC2172" i="24" s="1"/>
  <c r="AC2771" i="23" l="1"/>
  <c r="AC1932" i="24"/>
  <c r="AC2173" i="24"/>
  <c r="AC2174" i="24" s="1"/>
  <c r="AC2175" i="24" s="1"/>
  <c r="AC2176" i="24" s="1"/>
  <c r="AC2177" i="24" s="1"/>
  <c r="AC2178" i="24" s="1"/>
  <c r="AC2179" i="24" s="1"/>
  <c r="AC2180" i="24" s="1"/>
  <c r="AC2772" i="23" l="1"/>
  <c r="AC1933" i="24"/>
  <c r="AC2181" i="24"/>
  <c r="AC2182" i="24" s="1"/>
  <c r="AC2183" i="24" s="1"/>
  <c r="AC2184" i="24" s="1"/>
  <c r="AC2185" i="24" s="1"/>
  <c r="AC2186" i="24" s="1"/>
  <c r="AC2187" i="24" s="1"/>
  <c r="AC2188" i="24" s="1"/>
  <c r="AC2189" i="24" s="1"/>
  <c r="AC2190" i="24" s="1"/>
  <c r="AC2191" i="24" s="1"/>
  <c r="AC2192" i="24" s="1"/>
  <c r="AC2193" i="24" s="1"/>
  <c r="AC2194" i="24" s="1"/>
  <c r="AC2195" i="24" s="1"/>
  <c r="AC2196" i="24" s="1"/>
  <c r="AC2773" i="23" l="1"/>
  <c r="AC1934" i="24"/>
  <c r="AC2774" i="23" l="1"/>
  <c r="AC1935" i="24"/>
  <c r="AC2775" i="23" l="1"/>
  <c r="AC1936" i="24"/>
  <c r="AC2024" i="24"/>
  <c r="AC2025" i="24" s="1"/>
  <c r="AC2026" i="24" s="1"/>
  <c r="AC2027" i="24" s="1"/>
  <c r="AC2028" i="24" s="1"/>
  <c r="AC2029" i="24" s="1"/>
  <c r="AC2030" i="24" s="1"/>
  <c r="AC2031" i="24" s="1"/>
  <c r="AC2032" i="24" s="1"/>
  <c r="AC2033" i="24" s="1"/>
  <c r="AC2034" i="24" s="1"/>
  <c r="AC2035" i="24" s="1"/>
  <c r="AC2036" i="24" s="1"/>
  <c r="AC2776" i="23" l="1"/>
  <c r="AC1937" i="24"/>
  <c r="AC2122" i="24"/>
  <c r="AC2123" i="24" s="1"/>
  <c r="AC2124" i="24" s="1"/>
  <c r="AC2125" i="24" s="1"/>
  <c r="AC2126" i="24" s="1"/>
  <c r="AC2127" i="24" s="1"/>
  <c r="AC2128" i="24" s="1"/>
  <c r="AC2129" i="24" s="1"/>
  <c r="AC2130" i="24" s="1"/>
  <c r="AC2131" i="24" s="1"/>
  <c r="AC2777" i="23" l="1"/>
  <c r="AC1938" i="24"/>
  <c r="AC2133" i="24"/>
  <c r="AC2134" i="24" s="1"/>
  <c r="AC2135" i="24" s="1"/>
  <c r="AC2136" i="24" s="1"/>
  <c r="AC2137" i="24" s="1"/>
  <c r="AC2138" i="24" s="1"/>
  <c r="AC2139" i="24" s="1"/>
  <c r="AC2140" i="24" s="1"/>
  <c r="AC2141" i="24" s="1"/>
  <c r="AC2142" i="24" s="1"/>
  <c r="AC2143" i="24" s="1"/>
  <c r="AC2144" i="24" s="1"/>
  <c r="AC2145" i="24" s="1"/>
  <c r="AC2146" i="24" s="1"/>
  <c r="AC2147" i="24" s="1"/>
  <c r="AC2148" i="24" s="1"/>
  <c r="AC2149" i="24" s="1"/>
  <c r="AC2212" i="24"/>
  <c r="AC2213" i="24" s="1"/>
  <c r="AC2214" i="24" s="1"/>
  <c r="AC2215" i="24" s="1"/>
  <c r="AC2216" i="24" s="1"/>
  <c r="AC2217" i="24" s="1"/>
  <c r="AC2218" i="24" s="1"/>
  <c r="AC2219" i="24" s="1"/>
  <c r="AC2293" i="24"/>
  <c r="AC2294" i="24" s="1"/>
  <c r="AC2295" i="24" s="1"/>
  <c r="AC2296" i="24" s="1"/>
  <c r="AC2297" i="24" s="1"/>
  <c r="AC2298" i="24" s="1"/>
  <c r="AC2299" i="24" s="1"/>
  <c r="AC2300" i="24" s="1"/>
  <c r="AC2301" i="24" s="1"/>
  <c r="AC2302" i="24" s="1"/>
  <c r="AC2303" i="24" s="1"/>
  <c r="AC2304" i="24" s="1"/>
  <c r="AC2305" i="24" s="1"/>
  <c r="AC2306" i="24" s="1"/>
  <c r="AC2307" i="24" s="1"/>
  <c r="AC2308" i="24" s="1"/>
  <c r="AC2309" i="24" s="1"/>
  <c r="AC2310" i="24" s="1"/>
  <c r="AC2311" i="24" s="1"/>
  <c r="AC2312" i="24" s="1"/>
  <c r="AC2313" i="24" s="1"/>
  <c r="AC2314" i="24" s="1"/>
  <c r="AC2315" i="24" s="1"/>
  <c r="AC2316" i="24" s="1"/>
  <c r="AC2317" i="24" s="1"/>
  <c r="AC2318" i="24" s="1"/>
  <c r="AC2319" i="24" s="1"/>
  <c r="AC2320" i="24" s="1"/>
  <c r="AC2321" i="24" s="1"/>
  <c r="AC2322" i="24" s="1"/>
  <c r="AC2323" i="24" s="1"/>
  <c r="AC2324" i="24" s="1"/>
  <c r="AC2325" i="24" s="1"/>
  <c r="AC2326" i="24" s="1"/>
  <c r="AC2327" i="24" s="1"/>
  <c r="AC2328" i="24" s="1"/>
  <c r="AC2778" i="23" l="1"/>
  <c r="AC1939" i="24"/>
  <c r="AC2220" i="24"/>
  <c r="AC2221" i="24" s="1"/>
  <c r="AC2222" i="24" s="1"/>
  <c r="AC2223" i="24" s="1"/>
  <c r="AC2224" i="24" s="1"/>
  <c r="AC2225" i="24" s="1"/>
  <c r="AC2226" i="24" s="1"/>
  <c r="AC2227" i="24" s="1"/>
  <c r="AC2228" i="24" s="1"/>
  <c r="AC2229" i="24" s="1"/>
  <c r="AC2230" i="24" s="1"/>
  <c r="AC2231" i="24" s="1"/>
  <c r="AC2232" i="24" s="1"/>
  <c r="AC2233" i="24" s="1"/>
  <c r="AC2234" i="24" s="1"/>
  <c r="AC2235" i="24" s="1"/>
  <c r="AC2236" i="24" s="1"/>
  <c r="AC2237" i="24" s="1"/>
  <c r="AC2238" i="24" s="1"/>
  <c r="AC2239" i="24" s="1"/>
  <c r="AC2240" i="24" s="1"/>
  <c r="AC2241" i="24" s="1"/>
  <c r="AC2242" i="24" s="1"/>
  <c r="AC2243" i="24" s="1"/>
  <c r="AC2244" i="24" s="1"/>
  <c r="AC2330" i="24"/>
  <c r="AC2331" i="24" s="1"/>
  <c r="AC2332" i="24" s="1"/>
  <c r="AC2779" i="23" l="1"/>
  <c r="AC1940" i="24"/>
  <c r="AC2329" i="24"/>
  <c r="AC2340" i="24"/>
  <c r="AC2780" i="23" l="1"/>
  <c r="AC1941" i="24"/>
  <c r="AC2467" i="24"/>
  <c r="AC2468" i="24" s="1"/>
  <c r="AC2469" i="24" s="1"/>
  <c r="AC2470" i="24" s="1"/>
  <c r="AC2471" i="24" s="1"/>
  <c r="AC2472" i="24" s="1"/>
  <c r="AC2473" i="24" s="1"/>
  <c r="AC2474" i="24" s="1"/>
  <c r="AC2475" i="24" s="1"/>
  <c r="AC2476" i="24" s="1"/>
  <c r="AC2477" i="24" s="1"/>
  <c r="AC2478" i="24" s="1"/>
  <c r="AC2479" i="24" s="1"/>
  <c r="AC2480" i="24" s="1"/>
  <c r="AC2781" i="23" l="1"/>
  <c r="AC1942" i="24"/>
  <c r="AC2565" i="24"/>
  <c r="AC2566" i="24" s="1"/>
  <c r="AC2567" i="24" s="1"/>
  <c r="AC2568" i="24" s="1"/>
  <c r="AC2569" i="24" s="1"/>
  <c r="AC2570" i="24" s="1"/>
  <c r="AC2571" i="24" s="1"/>
  <c r="AC2572" i="24" s="1"/>
  <c r="AC2573" i="24" s="1"/>
  <c r="AC2574" i="24" s="1"/>
  <c r="AC2575" i="24" s="1"/>
  <c r="AC2576" i="24" s="1"/>
  <c r="AC2577" i="24" s="1"/>
  <c r="AC2578" i="24" s="1"/>
  <c r="AC2579" i="24" s="1"/>
  <c r="AC2580" i="24" s="1"/>
  <c r="AC2581" i="24" s="1"/>
  <c r="AC2582" i="24" s="1"/>
  <c r="AC2583" i="24" s="1"/>
  <c r="AC2584" i="24" s="1"/>
  <c r="AC2585" i="24" s="1"/>
  <c r="AC2586" i="24" s="1"/>
  <c r="AC2587" i="24" s="1"/>
  <c r="AC2588" i="24" s="1"/>
  <c r="AC2589" i="24" s="1"/>
  <c r="AC2782" i="23" l="1"/>
  <c r="AC2783" i="23" s="1"/>
  <c r="AC2784" i="23" s="1"/>
  <c r="AC2785" i="23" s="1"/>
  <c r="AC2786" i="23" s="1"/>
  <c r="AC2787" i="23" s="1"/>
  <c r="AC2788" i="23" s="1"/>
  <c r="AC2789" i="23" s="1"/>
  <c r="AC2790" i="23" s="1"/>
  <c r="AC2791" i="23" s="1"/>
  <c r="AC2792" i="23" s="1"/>
  <c r="AC2793" i="23" s="1"/>
  <c r="AC2794" i="23" s="1"/>
  <c r="AC2795" i="23" s="1"/>
  <c r="AC2796" i="23" s="1"/>
  <c r="AC2797" i="23" s="1"/>
  <c r="AC2798" i="23" s="1"/>
  <c r="AC2799" i="23" s="1"/>
  <c r="AC2800" i="23" s="1"/>
  <c r="AF666" i="23" s="1"/>
  <c r="AF2606" i="23"/>
  <c r="AF525" i="23"/>
  <c r="AF2447" i="23"/>
  <c r="AF2031" i="23"/>
  <c r="AF332" i="23"/>
  <c r="AF1301" i="23"/>
  <c r="AF334" i="23"/>
  <c r="AF1486" i="23"/>
  <c r="AF858" i="23"/>
  <c r="AF689" i="23"/>
  <c r="AF1889" i="23"/>
  <c r="AF1345" i="23"/>
  <c r="AF2176" i="23"/>
  <c r="AF2628" i="23"/>
  <c r="AF862" i="23"/>
  <c r="AF1905" i="23"/>
  <c r="AF633" i="23"/>
  <c r="AF2457" i="23"/>
  <c r="AF1011" i="23"/>
  <c r="AF2675" i="23"/>
  <c r="AF2066" i="23"/>
  <c r="AF2560" i="23"/>
  <c r="AF2133" i="23"/>
  <c r="AF2481" i="23"/>
  <c r="AF2340" i="23"/>
  <c r="AF673" i="23"/>
  <c r="AF400" i="23"/>
  <c r="AF1721" i="23"/>
  <c r="AF376" i="23"/>
  <c r="AF2460" i="23"/>
  <c r="AF771" i="23"/>
  <c r="AF577" i="23"/>
  <c r="AF321" i="23"/>
  <c r="AF1615" i="23"/>
  <c r="AF2390" i="23"/>
  <c r="AF1785" i="23"/>
  <c r="AF902" i="23"/>
  <c r="AF684" i="23"/>
  <c r="AF2099" i="23"/>
  <c r="AF2555" i="23"/>
  <c r="AF790" i="23"/>
  <c r="AF1923" i="23"/>
  <c r="AF1142" i="23"/>
  <c r="AF1792" i="23"/>
  <c r="AF2763" i="23"/>
  <c r="AF2752" i="23"/>
  <c r="AF2636" i="23"/>
  <c r="AF2518" i="23"/>
  <c r="AF2512" i="23"/>
  <c r="AF997" i="23"/>
  <c r="AF992" i="23"/>
  <c r="AF1378" i="23"/>
  <c r="AF1702" i="23"/>
  <c r="AF707" i="23"/>
  <c r="AF320" i="23"/>
  <c r="AF414" i="23"/>
  <c r="AF1538" i="23"/>
  <c r="AF941" i="23"/>
  <c r="AF1601" i="23"/>
  <c r="AF634" i="23"/>
  <c r="AF2782" i="23"/>
  <c r="AF1984" i="23"/>
  <c r="AF1999" i="23"/>
  <c r="AF399" i="23"/>
  <c r="AF462" i="23"/>
  <c r="AF2084" i="23"/>
  <c r="AF2682" i="23"/>
  <c r="AF708" i="23"/>
  <c r="AF663" i="23"/>
  <c r="AF1669" i="23"/>
  <c r="AF2660" i="23"/>
  <c r="AF515" i="23"/>
  <c r="AF963" i="23"/>
  <c r="AF2771" i="23"/>
  <c r="AF2333" i="23"/>
  <c r="AF1953" i="23"/>
  <c r="AF1862" i="23"/>
  <c r="AF2317" i="23"/>
  <c r="AF2521" i="23"/>
  <c r="AF558" i="23"/>
  <c r="AF1287" i="23"/>
  <c r="AF874" i="23"/>
  <c r="AF1029" i="23"/>
  <c r="AF451" i="23"/>
  <c r="AF1762" i="23"/>
  <c r="AF1548" i="23"/>
  <c r="AF2331" i="23"/>
  <c r="AF1364" i="23"/>
  <c r="AF713" i="23"/>
  <c r="AF2346" i="23"/>
  <c r="AF2568" i="23"/>
  <c r="AF2602" i="23"/>
  <c r="AF604" i="23"/>
  <c r="AF938" i="23"/>
  <c r="AF2646" i="23"/>
  <c r="AF1689" i="23"/>
  <c r="AF2047" i="23"/>
  <c r="AF1494" i="23"/>
  <c r="AF1367" i="23"/>
  <c r="AF705" i="23"/>
  <c r="AF926" i="23"/>
  <c r="AF2725" i="23"/>
  <c r="AF426" i="23"/>
  <c r="AF2155" i="23"/>
  <c r="AF2251" i="23"/>
  <c r="AF1708" i="23"/>
  <c r="AF822" i="23"/>
  <c r="AF1649" i="23"/>
  <c r="AF1401" i="23"/>
  <c r="AF639" i="23"/>
  <c r="AF1305" i="23"/>
  <c r="AF2684" i="23"/>
  <c r="AF2036" i="23"/>
  <c r="AF1524" i="23"/>
  <c r="AF2005" i="23"/>
  <c r="AF644" i="23"/>
  <c r="AF2473" i="23"/>
  <c r="AF425" i="23"/>
  <c r="AF2268" i="23"/>
  <c r="AF1971" i="23"/>
  <c r="AF915" i="23"/>
  <c r="AF2328" i="23"/>
  <c r="AF1929" i="23"/>
  <c r="AF1711" i="23"/>
  <c r="AF1526" i="23"/>
  <c r="AF953" i="23"/>
  <c r="AF472" i="23"/>
  <c r="AF2179" i="23"/>
  <c r="AF826" i="23"/>
  <c r="AF2635" i="23"/>
  <c r="AF482" i="23"/>
  <c r="AF421" i="23"/>
  <c r="AF1101" i="23"/>
  <c r="AF2712" i="23"/>
  <c r="AF664" i="23"/>
  <c r="AF1217" i="23"/>
  <c r="AF1973" i="23"/>
  <c r="AF1355" i="23"/>
  <c r="AF1504" i="23"/>
  <c r="AF585" i="23"/>
  <c r="AF2644" i="23"/>
  <c r="AF2544" i="23"/>
  <c r="AF1498" i="23"/>
  <c r="AF796" i="23"/>
  <c r="AF1419" i="23"/>
  <c r="AF1035" i="23"/>
  <c r="AF2648" i="23"/>
  <c r="AF2642" i="23"/>
  <c r="AF905" i="23"/>
  <c r="AF887" i="23"/>
  <c r="AF767" i="23"/>
  <c r="AF2211" i="23"/>
  <c r="AF2516" i="23"/>
  <c r="AF2235" i="23"/>
  <c r="AF2565" i="23"/>
  <c r="AF2051" i="23"/>
  <c r="AF1994" i="23"/>
  <c r="AF1088" i="23"/>
  <c r="AF1366" i="23"/>
  <c r="AF348" i="23"/>
  <c r="AF847" i="23"/>
  <c r="AF2029" i="23"/>
  <c r="AF1934" i="23"/>
  <c r="AF1846" i="23"/>
  <c r="AF2091" i="23"/>
  <c r="AF464" i="23"/>
  <c r="AF2045" i="23"/>
  <c r="AF1187" i="23"/>
  <c r="AF972" i="23"/>
  <c r="AF2212" i="23"/>
  <c r="AF722" i="23"/>
  <c r="AF1739" i="23"/>
  <c r="AF758" i="23"/>
  <c r="AF1606" i="23"/>
  <c r="AF2250" i="23"/>
  <c r="AF2775" i="23"/>
  <c r="AF1289" i="23"/>
  <c r="AF720" i="23"/>
  <c r="AF1275" i="23"/>
  <c r="AF889" i="23"/>
  <c r="AF2581" i="23"/>
  <c r="AF2668" i="23"/>
  <c r="AF2559" i="23"/>
  <c r="AF459" i="23"/>
  <c r="AF731" i="23"/>
  <c r="AF2075" i="23"/>
  <c r="AF2694" i="23"/>
  <c r="AF2621" i="23"/>
  <c r="AF2659" i="23"/>
  <c r="AF406" i="23"/>
  <c r="AF2358" i="23"/>
  <c r="AF2609" i="23"/>
  <c r="AF1815" i="23"/>
  <c r="AF1598" i="23"/>
  <c r="AF2639" i="23"/>
  <c r="AF881" i="23"/>
  <c r="AF1006" i="23"/>
  <c r="AF1048" i="23"/>
  <c r="AF2500" i="23"/>
  <c r="AF1563" i="23"/>
  <c r="AF2604" i="23"/>
  <c r="AF2474" i="23"/>
  <c r="AF1982" i="23"/>
  <c r="AF2738" i="23"/>
  <c r="AF435" i="23"/>
  <c r="AF2244" i="23"/>
  <c r="AF532" i="23"/>
  <c r="AF437" i="23"/>
  <c r="AF1129" i="23"/>
  <c r="AF383" i="23"/>
  <c r="AF529" i="23"/>
  <c r="AF2613" i="23"/>
  <c r="AF2011" i="23"/>
  <c r="AF2350" i="23"/>
  <c r="AF2203" i="23"/>
  <c r="AF323" i="23"/>
  <c r="AF2329" i="23"/>
  <c r="AF2721" i="23"/>
  <c r="AF361" i="23"/>
  <c r="AF854" i="23"/>
  <c r="AF1860" i="23"/>
  <c r="AF2196" i="23"/>
  <c r="AF1818" i="23"/>
  <c r="AF1651" i="23"/>
  <c r="AF2396" i="23"/>
  <c r="AF1174" i="23"/>
  <c r="AF908" i="23"/>
  <c r="AF1324" i="23"/>
  <c r="AF314" i="23"/>
  <c r="AF555" i="23"/>
  <c r="AF563" i="23"/>
  <c r="AF1654" i="23"/>
  <c r="AF2582" i="23"/>
  <c r="AF330" i="23"/>
  <c r="AF432" i="23"/>
  <c r="AF1304" i="23"/>
  <c r="AF2494" i="23"/>
  <c r="AF1941" i="23"/>
  <c r="AF1913" i="23"/>
  <c r="AF788" i="23"/>
  <c r="AF1558" i="23"/>
  <c r="AF1327" i="23"/>
  <c r="AF1735" i="23"/>
  <c r="AF823" i="23"/>
  <c r="AF1718" i="23"/>
  <c r="AF2443" i="23"/>
  <c r="AF1207" i="23"/>
  <c r="AF640" i="23"/>
  <c r="AF2679" i="23"/>
  <c r="AF1197" i="23"/>
  <c r="AF2190" i="23"/>
  <c r="AF2371" i="23"/>
  <c r="AF1960" i="23"/>
  <c r="AF427" i="23"/>
  <c r="AF473" i="23"/>
  <c r="AF2455" i="23"/>
  <c r="AF924" i="23"/>
  <c r="AF1473" i="23"/>
  <c r="AF730" i="23"/>
  <c r="AF1551" i="23"/>
  <c r="AF786" i="23"/>
  <c r="AF2187" i="23"/>
  <c r="AF1653" i="23"/>
  <c r="AF1600" i="23"/>
  <c r="AF2335" i="23"/>
  <c r="AF950" i="23"/>
  <c r="AF2353" i="23"/>
  <c r="AF2127" i="23"/>
  <c r="AF1460" i="23"/>
  <c r="AF535" i="23"/>
  <c r="AF2082" i="23"/>
  <c r="AF623" i="23"/>
  <c r="AF438" i="23"/>
  <c r="AF1805" i="23"/>
  <c r="AF1205" i="23"/>
  <c r="AF2631" i="23"/>
  <c r="AF583" i="23"/>
  <c r="AF1246" i="23"/>
  <c r="AF523" i="23"/>
  <c r="AF1668" i="23"/>
  <c r="AF1421" i="23"/>
  <c r="AF2136" i="23"/>
  <c r="AF839" i="23"/>
  <c r="AF386" i="23"/>
  <c r="AF1727" i="23"/>
  <c r="AF2010" i="23"/>
  <c r="AF504" i="23"/>
  <c r="AF1249" i="23"/>
  <c r="AF1182" i="23"/>
  <c r="AF2132" i="23"/>
  <c r="AF980" i="23"/>
  <c r="AF603" i="23"/>
  <c r="AF590" i="23"/>
  <c r="AF2178" i="23"/>
  <c r="AF1330" i="23"/>
  <c r="AF588" i="23"/>
  <c r="AF2566" i="23"/>
  <c r="AF655" i="23"/>
  <c r="AF1829" i="23"/>
  <c r="AF497" i="23"/>
  <c r="AF2159" i="23"/>
  <c r="AF1719" i="23"/>
  <c r="AF499" i="23"/>
  <c r="AF1092" i="23"/>
  <c r="AF2686" i="23"/>
  <c r="AF2052" i="23"/>
  <c r="AF1303" i="23"/>
  <c r="AF631" i="23"/>
  <c r="AF2314" i="23"/>
  <c r="AF2121" i="23"/>
  <c r="AF2394" i="23"/>
  <c r="AF391" i="23"/>
  <c r="AF2442" i="23"/>
  <c r="AF2469" i="23"/>
  <c r="AF2779" i="23"/>
  <c r="AF1542" i="23"/>
  <c r="AF1998" i="23"/>
  <c r="AF589" i="23"/>
  <c r="AF522" i="23"/>
  <c r="AF1997" i="23"/>
  <c r="AF2728" i="23"/>
  <c r="AF1810" i="23"/>
  <c r="AF392" i="23"/>
  <c r="AF2166" i="23"/>
  <c r="AF2362" i="23"/>
  <c r="AF803" i="23"/>
  <c r="AF1734" i="23"/>
  <c r="AF1167" i="23"/>
  <c r="AF2799" i="23"/>
  <c r="AF1518" i="23"/>
  <c r="AF1691" i="23"/>
  <c r="AF2138" i="23"/>
  <c r="AF686" i="23"/>
  <c r="AF1191" i="23"/>
  <c r="AF1388" i="23"/>
  <c r="AF843" i="23"/>
  <c r="AF2078" i="23"/>
  <c r="AF1271" i="23"/>
  <c r="AF1407" i="23"/>
  <c r="AF2514" i="23"/>
  <c r="AF328" i="23"/>
  <c r="AF447" i="23"/>
  <c r="AF834" i="23"/>
  <c r="AF2280" i="23"/>
  <c r="AF1767" i="23"/>
  <c r="AF372" i="23"/>
  <c r="AF1362" i="23"/>
  <c r="AF2706" i="23"/>
  <c r="AF1922" i="23"/>
  <c r="AF322" i="23"/>
  <c r="AF2327" i="23"/>
  <c r="AF2294" i="23"/>
  <c r="AF1673" i="23"/>
  <c r="AF2188" i="23"/>
  <c r="AF1540" i="23"/>
  <c r="AF1424" i="23"/>
  <c r="AF864" i="23"/>
  <c r="AF2120" i="23"/>
  <c r="AF1292" i="23"/>
  <c r="AF831" i="23"/>
  <c r="AF2422" i="23"/>
  <c r="AF2783" i="23"/>
  <c r="AF1594" i="23"/>
  <c r="AF526" i="23"/>
  <c r="AF1390" i="23"/>
  <c r="AF2258" i="23"/>
  <c r="AF1696" i="23"/>
  <c r="AF2462" i="23"/>
  <c r="AF1958" i="23"/>
  <c r="AF329" i="23"/>
  <c r="AF1525" i="23"/>
  <c r="AF1573" i="23"/>
  <c r="AF410" i="23"/>
  <c r="AF1176" i="23"/>
  <c r="AF1661" i="23"/>
  <c r="AF1133" i="23"/>
  <c r="AF498" i="23"/>
  <c r="AF2125" i="23"/>
  <c r="AF1023" i="23"/>
  <c r="AF1219" i="23"/>
  <c r="AF1386" i="23"/>
  <c r="AF1484" i="23"/>
  <c r="AF733" i="23"/>
  <c r="AF2430" i="23"/>
  <c r="AF2399" i="23"/>
  <c r="AF2614" i="23"/>
  <c r="AF1748" i="23"/>
  <c r="AF1820" i="23"/>
  <c r="AF1238" i="23"/>
  <c r="AF2471" i="23"/>
  <c r="AF368" i="23"/>
  <c r="AF1938" i="23"/>
  <c r="AF1726" i="23"/>
  <c r="AF1870" i="23"/>
  <c r="AF1989" i="23"/>
  <c r="AF1442" i="23"/>
  <c r="AF983" i="23"/>
  <c r="AF1065" i="23"/>
  <c r="AF1900" i="23"/>
  <c r="AF1633" i="23"/>
  <c r="AF725" i="23"/>
  <c r="AF2243" i="23"/>
  <c r="AF692" i="23"/>
  <c r="AF2437" i="23"/>
  <c r="AF1826" i="23"/>
  <c r="AF1310" i="23"/>
  <c r="AF1710" i="23"/>
  <c r="AF1428" i="23"/>
  <c r="AF2445" i="23"/>
  <c r="AF2105" i="23"/>
  <c r="AF2645" i="23"/>
  <c r="AF1138" i="23"/>
  <c r="AF2154" i="23"/>
  <c r="AF1190" i="23"/>
  <c r="AF1134" i="23"/>
  <c r="AF1674" i="23"/>
  <c r="AF2226" i="23"/>
  <c r="AF2736" i="23"/>
  <c r="AF1432" i="23"/>
  <c r="AF2444" i="23"/>
  <c r="AF714" i="23"/>
  <c r="AF2554" i="23"/>
  <c r="AF1444" i="23"/>
  <c r="AF685" i="23"/>
  <c r="AF593" i="23"/>
  <c r="AF2186" i="23"/>
  <c r="AF2702" i="23"/>
  <c r="AF2165" i="23"/>
  <c r="AF607" i="23"/>
  <c r="AF1436" i="23"/>
  <c r="AF1254" i="23"/>
  <c r="AF501" i="23"/>
  <c r="AF1472" i="23"/>
  <c r="AF2117" i="23"/>
  <c r="AF2140" i="23"/>
  <c r="AF2705" i="23"/>
  <c r="AF2688" i="23"/>
  <c r="AF643" i="23"/>
  <c r="AF1323" i="23"/>
  <c r="AF1910" i="23"/>
  <c r="AF2750" i="23"/>
  <c r="AF2749" i="23"/>
  <c r="AF2436" i="23"/>
  <c r="AF2647" i="23"/>
  <c r="AF2363" i="23"/>
  <c r="AF2530" i="23"/>
  <c r="AF988" i="23"/>
  <c r="AF1581" i="23"/>
  <c r="AF2385" i="23"/>
  <c r="AF2503" i="23"/>
  <c r="AF1136" i="23"/>
  <c r="AF2352" i="23"/>
  <c r="AF863" i="23"/>
  <c r="AF1567" i="23"/>
  <c r="AF2545" i="23"/>
  <c r="AF813" i="23"/>
  <c r="AF1181" i="23"/>
  <c r="AF1720" i="23"/>
  <c r="AF1435" i="23"/>
  <c r="AF2553" i="23"/>
  <c r="AF2619" i="23"/>
  <c r="AF745" i="23"/>
  <c r="AF1611" i="23"/>
  <c r="AF2170" i="23"/>
  <c r="AF1431" i="23"/>
  <c r="AF916" i="23"/>
  <c r="AF2730" i="23"/>
  <c r="AF892" i="23"/>
  <c r="AF848" i="23"/>
  <c r="AF932" i="23"/>
  <c r="AF1396" i="23"/>
  <c r="AF315" i="23"/>
  <c r="AF984" i="23"/>
  <c r="AF1588" i="23"/>
  <c r="AF2369" i="23"/>
  <c r="AF853" i="23"/>
  <c r="AF737" i="23"/>
  <c r="AF2501" i="23"/>
  <c r="AF2083" i="23"/>
  <c r="AF1920" i="23"/>
  <c r="AF2095" i="23"/>
  <c r="AF712" i="23"/>
  <c r="AF1671" i="23"/>
  <c r="AF1678" i="23"/>
  <c r="AF1788" i="23"/>
  <c r="AF1865" i="23"/>
  <c r="AF898" i="23"/>
  <c r="AF2189" i="23"/>
  <c r="AF1771" i="23"/>
  <c r="AF541" i="23"/>
  <c r="AF1245" i="23"/>
  <c r="AF1784" i="23"/>
  <c r="AF2126" i="23"/>
  <c r="AF1110" i="23"/>
  <c r="AF1493" i="23"/>
  <c r="AF1464" i="23"/>
  <c r="AF445" i="23"/>
  <c r="AF440" i="23"/>
  <c r="AF339" i="23"/>
  <c r="AF2637" i="23"/>
  <c r="AF1161" i="23"/>
  <c r="AF1827" i="23"/>
  <c r="AF896" i="23"/>
  <c r="AF1120" i="23"/>
  <c r="AF1008" i="23"/>
  <c r="AF2617" i="23"/>
  <c r="AF954" i="23"/>
  <c r="AF661" i="23"/>
  <c r="AF2598" i="23"/>
  <c r="AF326" i="23"/>
  <c r="AF844" i="23"/>
  <c r="AF998" i="23"/>
  <c r="AF1013" i="23"/>
  <c r="AF2079" i="23"/>
  <c r="AF2392" i="23"/>
  <c r="AF2381" i="23"/>
  <c r="AF524" i="23"/>
  <c r="AF1096" i="23"/>
  <c r="AF734" i="23"/>
  <c r="AF1087" i="23"/>
  <c r="AF798" i="23"/>
  <c r="AF1557" i="23"/>
  <c r="AF1211" i="23"/>
  <c r="AF345" i="23"/>
  <c r="AF316" i="23"/>
  <c r="AF2509" i="23"/>
  <c r="AF2295" i="23"/>
  <c r="AF434" i="23"/>
  <c r="AF2739" i="23"/>
  <c r="AF716" i="23"/>
  <c r="AF2426" i="23"/>
  <c r="AF1591" i="23"/>
  <c r="AF765" i="23"/>
  <c r="AF1043" i="23"/>
  <c r="AF781" i="23"/>
  <c r="AF2454" i="23"/>
  <c r="AF2168" i="23"/>
  <c r="AF927" i="23"/>
  <c r="AF1901" i="23"/>
  <c r="AF1268" i="23"/>
  <c r="AF1950" i="23"/>
  <c r="AF1837" i="23"/>
  <c r="AF382" i="23"/>
  <c r="AF2776" i="23"/>
  <c r="AF2527" i="23"/>
  <c r="AF2013" i="23"/>
  <c r="AF1571" i="23"/>
  <c r="AF1585" i="23"/>
  <c r="AF2446" i="23"/>
  <c r="AF2496" i="23"/>
  <c r="AF2640" i="23"/>
  <c r="AF1930" i="23"/>
  <c r="AF2722" i="23"/>
  <c r="AF868" i="23"/>
  <c r="AF1387" i="23"/>
  <c r="AF1531" i="23"/>
  <c r="AF2042" i="23"/>
  <c r="AF875" i="23"/>
  <c r="AF1628" i="23"/>
  <c r="AF687" i="23"/>
  <c r="AF2655" i="23"/>
  <c r="AF1441" i="23"/>
  <c r="AF1662" i="23"/>
  <c r="AF800" i="23"/>
  <c r="AF859" i="23"/>
  <c r="AF809" i="23"/>
  <c r="AF474" i="23"/>
  <c r="AF2673" i="23"/>
  <c r="AF1978" i="23"/>
  <c r="AF1206" i="23"/>
  <c r="AF586" i="23"/>
  <c r="AF365" i="23"/>
  <c r="AF2263" i="23"/>
  <c r="AF1618" i="23"/>
  <c r="AF2515" i="23"/>
  <c r="AF1534" i="23"/>
  <c r="AF342" i="23"/>
  <c r="AF530" i="23"/>
  <c r="AF2476" i="23"/>
  <c r="AF1537" i="23"/>
  <c r="AF2257" i="23"/>
  <c r="AF1241" i="23"/>
  <c r="AF895" i="23"/>
  <c r="AF695" i="23"/>
  <c r="AF1816" i="23"/>
  <c r="AF2745" i="23"/>
  <c r="AF2587" i="23"/>
  <c r="AF1883" i="23"/>
  <c r="AF1754" i="23"/>
  <c r="AF873" i="23"/>
  <c r="AF2420" i="23"/>
  <c r="AF659" i="23"/>
  <c r="AF1201" i="23"/>
  <c r="AF1356" i="23"/>
  <c r="AF1489" i="23"/>
  <c r="AF450" i="23"/>
  <c r="AF2786" i="23"/>
  <c r="AF2480" i="23"/>
  <c r="AF2308" i="23"/>
  <c r="AF520" i="23"/>
  <c r="AF2330" i="23"/>
  <c r="AF893" i="23"/>
  <c r="AF1168" i="23"/>
  <c r="AF2270" i="23"/>
  <c r="AF2151" i="23"/>
  <c r="AF907" i="23"/>
  <c r="AF1904" i="23"/>
  <c r="AF1768" i="23"/>
  <c r="AF1677" i="23"/>
  <c r="AF1047" i="23"/>
  <c r="AF379" i="23"/>
  <c r="AF1623" i="23"/>
  <c r="AF1012" i="23"/>
  <c r="AF465" i="23"/>
  <c r="AF471" i="23"/>
  <c r="AF2524" i="23"/>
  <c r="AF2610" i="23"/>
  <c r="AF1264" i="23"/>
  <c r="AF966" i="23"/>
  <c r="AF2507" i="23"/>
  <c r="AF2262" i="23"/>
  <c r="AF1218" i="23"/>
  <c r="AF479" i="23"/>
  <c r="AF1556" i="23"/>
  <c r="AF2098" i="23"/>
  <c r="AF338" i="23"/>
  <c r="AF2271" i="23"/>
  <c r="AF1874" i="23"/>
  <c r="AF2023" i="23"/>
  <c r="AF2762" i="23"/>
  <c r="AF962" i="23"/>
  <c r="AF1812" i="23"/>
  <c r="AF1446" i="23"/>
  <c r="AF2441" i="23"/>
  <c r="AF1379" i="23"/>
  <c r="AF2292" i="23"/>
  <c r="AF1856" i="23"/>
  <c r="AF1605" i="23"/>
  <c r="AF1921" i="23"/>
  <c r="AF851" i="23"/>
  <c r="AF2344" i="23"/>
  <c r="AF1926" i="23"/>
  <c r="AF1158" i="23"/>
  <c r="AF2755" i="23"/>
  <c r="AF2061" i="23"/>
  <c r="AF1952" i="23"/>
  <c r="AF2626" i="23"/>
  <c r="AF2321" i="23"/>
  <c r="AF978" i="23"/>
  <c r="AF1041" i="23"/>
  <c r="AF1897" i="23"/>
  <c r="AF2201" i="23"/>
  <c r="AF2573" i="23"/>
  <c r="AF1202" i="23"/>
  <c r="AF1760" i="23"/>
  <c r="AF561" i="23"/>
  <c r="AF1005" i="23"/>
  <c r="AF1657" i="23"/>
  <c r="AF1981" i="23"/>
  <c r="AF1509" i="23"/>
  <c r="AF2296" i="23"/>
  <c r="AF1063" i="23"/>
  <c r="AF1242" i="23"/>
  <c r="AF2129" i="23"/>
  <c r="AF2259" i="23"/>
  <c r="AF513" i="23"/>
  <c r="AF1469" i="23"/>
  <c r="AF1946" i="23"/>
  <c r="AF2349" i="23"/>
  <c r="AF1522" i="23"/>
  <c r="AF1487" i="23"/>
  <c r="AF1945" i="23"/>
  <c r="AF1009" i="23"/>
  <c r="AF2665" i="23"/>
  <c r="AF949" i="23"/>
  <c r="AF2504" i="23"/>
  <c r="AF1642" i="23"/>
  <c r="AF1470" i="23"/>
  <c r="AF787" i="23"/>
  <c r="AF364" i="23"/>
  <c r="AF973" i="23"/>
  <c r="AF989" i="23"/>
  <c r="AF753" i="23"/>
  <c r="AF1987" i="23"/>
  <c r="AF1791" i="23"/>
  <c r="AF833" i="23"/>
  <c r="AF1015" i="23"/>
  <c r="AF2458" i="23"/>
  <c r="AF1426" i="23"/>
  <c r="AF587" i="23"/>
  <c r="AF1361" i="23"/>
  <c r="AF1157" i="23"/>
  <c r="AF2597" i="23"/>
  <c r="AF1135" i="23"/>
  <c r="AF2603" i="23"/>
  <c r="AF2612" i="23"/>
  <c r="AF1243" i="23"/>
  <c r="AF1239" i="23"/>
  <c r="AF1412" i="23"/>
  <c r="AF2325" i="23"/>
  <c r="AF910" i="23"/>
  <c r="AF347" i="23"/>
  <c r="AF1198" i="23"/>
  <c r="AF1423" i="23"/>
  <c r="AF933" i="23"/>
  <c r="AF1476" i="23"/>
  <c r="AF2142" i="23"/>
  <c r="AF1607" i="23"/>
  <c r="AF1380" i="23"/>
  <c r="AF1108" i="23"/>
  <c r="AF2778" i="23"/>
  <c r="AF2766" i="23"/>
  <c r="AF362" i="23"/>
  <c r="AF1569" i="23"/>
  <c r="AF2247" i="23"/>
  <c r="AF2406" i="23"/>
  <c r="AF1697" i="23"/>
  <c r="AF2720" i="23"/>
  <c r="AF1139" i="23"/>
  <c r="AF1562" i="23"/>
  <c r="AF2380" i="23"/>
  <c r="AF2062" i="23"/>
  <c r="AF946" i="23"/>
  <c r="AF2287" i="23"/>
  <c r="AF923" i="23"/>
  <c r="AF2039" i="23"/>
  <c r="AF1813" i="23"/>
  <c r="AF1402" i="23"/>
  <c r="AF1613" i="23"/>
  <c r="AF1758" i="23"/>
  <c r="AF929" i="23"/>
  <c r="AF885" i="23"/>
  <c r="AF872" i="23"/>
  <c r="AF1042" i="23"/>
  <c r="AF810" i="23"/>
  <c r="AF1972" i="23"/>
  <c r="AF866" i="23"/>
  <c r="AF543" i="23"/>
  <c r="AF2425" i="23"/>
  <c r="AF2418" i="23"/>
  <c r="AF2487" i="23"/>
  <c r="AF454" i="23"/>
  <c r="AF2748" i="23"/>
  <c r="AF2167" i="23"/>
  <c r="AF2209" i="23"/>
  <c r="AF2561" i="23"/>
  <c r="AF2586" i="23"/>
  <c r="AF970" i="23"/>
  <c r="AF724" i="23"/>
  <c r="AF1430" i="23"/>
  <c r="AF1160" i="23"/>
  <c r="AF2767" i="23"/>
  <c r="AF470" i="23"/>
  <c r="AF1104" i="23"/>
  <c r="AF891" i="23"/>
  <c r="AF1309" i="23"/>
  <c r="AF1915" i="23"/>
  <c r="AF609" i="23"/>
  <c r="AF2666" i="23"/>
  <c r="AF1269" i="23"/>
  <c r="AF2305" i="23"/>
  <c r="AF2286" i="23"/>
  <c r="AF2096" i="23"/>
  <c r="AF1021" i="23"/>
  <c r="AF496" i="23"/>
  <c r="AF1843" i="23"/>
  <c r="AF2277" i="23"/>
  <c r="AF1384" i="23"/>
  <c r="AF1496" i="23"/>
  <c r="AF2689" i="23"/>
  <c r="AF2459" i="23"/>
  <c r="AF1578" i="23"/>
  <c r="AF620" i="23"/>
  <c r="AF904" i="23"/>
  <c r="AF401" i="23"/>
  <c r="AF1616" i="23"/>
  <c r="AF2055" i="23"/>
  <c r="AF1082" i="23"/>
  <c r="AF2389" i="23"/>
  <c r="AF1807" i="23"/>
  <c r="AF1297" i="23"/>
  <c r="AF516" i="23"/>
  <c r="AF1849" i="23"/>
  <c r="AF799" i="23"/>
  <c r="AF2150" i="23"/>
  <c r="AF569" i="23"/>
  <c r="AF1775" i="23"/>
  <c r="AF1845" i="23"/>
  <c r="AF815" i="23"/>
  <c r="AF1265" i="23"/>
  <c r="AF1572" i="23"/>
  <c r="AF1839" i="23"/>
  <c r="AF2788" i="23"/>
  <c r="AF2539" i="23"/>
  <c r="AF2740" i="23"/>
  <c r="AF1713" i="23"/>
  <c r="AF857" i="23"/>
  <c r="AF2428" i="23"/>
  <c r="AF1963" i="23"/>
  <c r="AF1467" i="23"/>
  <c r="AF789" i="23"/>
  <c r="AF1455" i="23"/>
  <c r="AF777" i="23"/>
  <c r="AF1028" i="23"/>
  <c r="AF1208" i="23"/>
  <c r="AF763" i="23"/>
  <c r="AF1685" i="23"/>
  <c r="AF1316" i="23"/>
  <c r="AF1339" i="23"/>
  <c r="AF1894" i="23"/>
  <c r="AF2008" i="23"/>
  <c r="AF1800" i="23"/>
  <c r="AF747" i="23"/>
  <c r="AF2030" i="23"/>
  <c r="AF817" i="23"/>
  <c r="AF991" i="23"/>
  <c r="AF1817" i="23"/>
  <c r="AF1528" i="23"/>
  <c r="AF2315" i="23"/>
  <c r="AF492" i="23"/>
  <c r="AF742" i="23"/>
  <c r="AF821" i="23"/>
  <c r="AF914" i="23"/>
  <c r="AF2449" i="23"/>
  <c r="AF1499" i="23"/>
  <c r="AF441" i="23"/>
  <c r="AF1004" i="23"/>
  <c r="AF2398" i="23"/>
  <c r="AF981" i="23"/>
  <c r="AF1318" i="23"/>
  <c r="AF999" i="23"/>
  <c r="AF403" i="23"/>
  <c r="AF318" i="23"/>
  <c r="AF1020" i="23"/>
  <c r="AF2723" i="23"/>
  <c r="AF1147" i="23"/>
  <c r="AF1223" i="23"/>
  <c r="AF1027" i="23"/>
  <c r="AF773" i="23"/>
  <c r="AF1342" i="23"/>
  <c r="AF452" i="23"/>
  <c r="AF783" i="23"/>
  <c r="AF439" i="23"/>
  <c r="AF1166" i="23"/>
  <c r="AF2692" i="23"/>
  <c r="AF1336" i="23"/>
  <c r="AF1392" i="23"/>
  <c r="AF1709" i="23"/>
  <c r="AF570" i="23"/>
  <c r="AF1270" i="23"/>
  <c r="AF795" i="23"/>
  <c r="AF1321" i="23"/>
  <c r="AF1411" i="23"/>
  <c r="AF381" i="23"/>
  <c r="AF1369" i="23"/>
  <c r="AF1694" i="23"/>
  <c r="AF807" i="23"/>
  <c r="AF2144" i="23"/>
  <c r="AF2397" i="23"/>
  <c r="AF2279" i="23"/>
  <c r="AF2223" i="23"/>
  <c r="AF1068" i="23"/>
  <c r="AF2760" i="23"/>
  <c r="AF701" i="23"/>
  <c r="AF1258" i="23"/>
  <c r="AF2630" i="23"/>
  <c r="AF1656" i="23"/>
  <c r="AF1060" i="23"/>
  <c r="AF1295" i="23"/>
  <c r="AF594" i="23"/>
  <c r="AF2249" i="23"/>
  <c r="AF2718" i="23"/>
  <c r="AF1332" i="23"/>
  <c r="AF1177" i="23"/>
  <c r="AF1858" i="23"/>
  <c r="AF654" i="23"/>
  <c r="AF2622" i="23"/>
  <c r="AF436" i="23"/>
  <c r="AF2299" i="23"/>
  <c r="AF677" i="23"/>
  <c r="AF1777" i="23"/>
  <c r="AF2360" i="23"/>
  <c r="AF890" i="23"/>
  <c r="AF2599" i="23"/>
  <c r="AF1462" i="23"/>
  <c r="AF1343" i="23"/>
  <c r="AF1902" i="23"/>
  <c r="AF2248" i="23"/>
  <c r="AF2732" i="23"/>
  <c r="AF1429" i="23"/>
  <c r="AF2022" i="23"/>
  <c r="AF2100" i="23"/>
  <c r="AF625" i="23"/>
  <c r="AF1033" i="23"/>
  <c r="AF1796" i="23"/>
  <c r="AF2532" i="23"/>
  <c r="AF1715" i="23"/>
  <c r="AF2475" i="23"/>
  <c r="AF1787" i="23"/>
  <c r="AF1240" i="23"/>
  <c r="AF2489" i="23"/>
  <c r="AF1002" i="23"/>
  <c r="AF840" i="23"/>
  <c r="AF656" i="23"/>
  <c r="AF1340" i="23"/>
  <c r="AF2618" i="23"/>
  <c r="AF385" i="23"/>
  <c r="AF1730" i="23"/>
  <c r="AF674" i="23"/>
  <c r="AF2789" i="23"/>
  <c r="AF517" i="23"/>
  <c r="AF469" i="23"/>
  <c r="AF2715" i="23"/>
  <c r="AF1884" i="23"/>
  <c r="AF2483" i="23"/>
  <c r="AF2683" i="23"/>
  <c r="AF1170" i="23"/>
  <c r="AF1163" i="23"/>
  <c r="AF1609" i="23"/>
  <c r="AF2708" i="23"/>
  <c r="AF1871" i="23"/>
  <c r="AF1919" i="23"/>
  <c r="AF2152" i="23"/>
  <c r="AF494" i="23"/>
  <c r="AF1584" i="23"/>
  <c r="AF2537" i="23"/>
  <c r="AF1516" i="23"/>
  <c r="AF2567" i="23"/>
  <c r="AF1234" i="23"/>
  <c r="AF1371" i="23"/>
  <c r="AF1322" i="23"/>
  <c r="AF1077" i="23"/>
  <c r="AF1346" i="23"/>
  <c r="AF683" i="23"/>
  <c r="AF505" i="23"/>
  <c r="AF884" i="23"/>
  <c r="AF2164" i="23"/>
  <c r="AF2213" i="23"/>
  <c r="AF1414" i="23"/>
  <c r="AF1422" i="23"/>
  <c r="AF1638" i="23"/>
  <c r="AF2130" i="23"/>
  <c r="AF869" i="23"/>
  <c r="AF1750" i="23"/>
  <c r="AF1481" i="23"/>
  <c r="AF2550" i="23"/>
  <c r="AF1667" i="23"/>
  <c r="AF1273" i="23"/>
  <c r="AF806" i="23"/>
  <c r="AF1908" i="23"/>
  <c r="AF1911" i="23"/>
  <c r="AF419" i="23"/>
  <c r="AF424" i="23"/>
  <c r="AF2502" i="23"/>
  <c r="AF1640" i="23"/>
  <c r="AF2320" i="23"/>
  <c r="AF2229" i="23"/>
  <c r="AF675" i="23"/>
  <c r="AF2035" i="23"/>
  <c r="AF1359" i="23"/>
  <c r="AF2595" i="23"/>
  <c r="AF2379" i="23"/>
  <c r="AF2421" i="23"/>
  <c r="AF1995" i="23"/>
  <c r="AF1413" i="23"/>
  <c r="AF959" i="23"/>
  <c r="AF2549" i="23"/>
  <c r="AF668" i="23"/>
  <c r="AF1490" i="23"/>
  <c r="AF2533" i="23"/>
  <c r="AF1067" i="23"/>
  <c r="AF327" i="23"/>
  <c r="AF2003" i="23"/>
  <c r="AF1944" i="23"/>
  <c r="AF1224" i="23"/>
  <c r="AF1383" i="23"/>
  <c r="AF2288" i="23"/>
  <c r="AF2365" i="23"/>
  <c r="AF2242" i="23"/>
  <c r="AF1370" i="23"/>
  <c r="AF2266" i="23"/>
  <c r="AF1099" i="23"/>
  <c r="AF1439" i="23"/>
  <c r="AF540" i="23"/>
  <c r="AF1263" i="23"/>
  <c r="AF1939" i="23"/>
  <c r="AF1050" i="23"/>
  <c r="AF1629" i="23"/>
  <c r="AF1480" i="23"/>
  <c r="AF1933" i="23"/>
  <c r="AF1757" i="23"/>
  <c r="AF2734" i="23"/>
  <c r="AF1663" i="23"/>
  <c r="AF2289" i="23"/>
  <c r="AF1178" i="23"/>
  <c r="AF825" i="23"/>
  <c r="AF1602" i="23"/>
  <c r="AF2695" i="23"/>
  <c r="AF578" i="23"/>
  <c r="AF2405" i="23"/>
  <c r="AF1587" i="23"/>
  <c r="AF2429" i="23"/>
  <c r="AF2180" i="23"/>
  <c r="AF1552" i="23"/>
  <c r="AF1149" i="23"/>
  <c r="AF2497" i="23"/>
  <c r="AF2172" i="23"/>
  <c r="AF2698" i="23"/>
  <c r="AF1619" i="23"/>
  <c r="AF1497" i="23"/>
  <c r="AF1666" i="23"/>
  <c r="AF1907" i="23"/>
  <c r="AF811" i="23"/>
  <c r="AF1307" i="23"/>
  <c r="AF1917" i="23"/>
  <c r="AF698" i="23"/>
  <c r="AF2650" i="23"/>
  <c r="AF1311" i="23"/>
  <c r="AF1565" i="23"/>
  <c r="AF2221" i="23"/>
  <c r="AF2313" i="23"/>
  <c r="AF1274" i="23"/>
  <c r="AF1154" i="23"/>
  <c r="AF2505" i="23"/>
  <c r="AF2021" i="23"/>
  <c r="AF2393" i="23"/>
  <c r="AF1066" i="23"/>
  <c r="AF2324" i="23"/>
  <c r="AF2742" i="23"/>
  <c r="AF974" i="23"/>
  <c r="AF1116" i="23"/>
  <c r="AF1204" i="23"/>
  <c r="AF744" i="23"/>
  <c r="AF2071" i="23"/>
  <c r="AF2746" i="23"/>
  <c r="AF556" i="23"/>
  <c r="AF1705" i="23"/>
  <c r="AF756" i="23"/>
  <c r="AF1701" i="23"/>
  <c r="AF1608" i="23"/>
  <c r="AF395" i="23"/>
  <c r="AF1977" i="23"/>
  <c r="AF1957" i="23"/>
  <c r="AF1288" i="23"/>
  <c r="AF845" i="23"/>
  <c r="AF1555" i="23"/>
  <c r="AF1943" i="23"/>
  <c r="AF638" i="23"/>
  <c r="AF1798" i="23"/>
  <c r="AF1368" i="23"/>
  <c r="AF2255" i="23"/>
  <c r="AF1574" i="23"/>
  <c r="AF1530" i="23"/>
  <c r="AF1335" i="23"/>
  <c r="AF363" i="23"/>
  <c r="AF1614" i="23"/>
  <c r="AF1559" i="23"/>
  <c r="AF1458" i="23"/>
  <c r="AF2119" i="23"/>
  <c r="AF682" i="23"/>
  <c r="AF600" i="23"/>
  <c r="AF2427" i="23"/>
  <c r="AF1184" i="23"/>
  <c r="AF2018" i="23"/>
  <c r="AF512" i="23"/>
  <c r="AF1781" i="23"/>
  <c r="AF1007" i="23"/>
  <c r="AF548" i="23"/>
  <c r="AF1278" i="23"/>
  <c r="AF816" i="23"/>
  <c r="AF2254" i="23"/>
  <c r="AF1866" i="23"/>
  <c r="AF536" i="23"/>
  <c r="AF2759" i="23"/>
  <c r="AF344" i="23"/>
  <c r="AF1896" i="23"/>
  <c r="AF467" i="23"/>
  <c r="AF922" i="23"/>
  <c r="AF2145" i="23"/>
  <c r="AF2556" i="23"/>
  <c r="AF1375" i="23"/>
  <c r="AF1267" i="23"/>
  <c r="AF1743" i="23"/>
  <c r="AF1145" i="23"/>
  <c r="AF2183" i="23"/>
  <c r="AF660" i="23"/>
  <c r="AF518" i="23"/>
  <c r="AF319" i="23"/>
  <c r="AF2004" i="23"/>
  <c r="AF1150" i="23"/>
  <c r="AF2290" i="23"/>
  <c r="AF2493" i="23"/>
  <c r="AF1119" i="23"/>
  <c r="AF1776" i="23"/>
  <c r="AF1381" i="23"/>
  <c r="AF1795" i="23"/>
  <c r="AF1466" i="23"/>
  <c r="AF1122" i="23"/>
  <c r="AF942" i="23"/>
  <c r="AF951" i="23"/>
  <c r="AF1440" i="23"/>
  <c r="AF1586" i="23"/>
  <c r="AF1626" i="23"/>
  <c r="AF511" i="23"/>
  <c r="AF706" i="23"/>
  <c r="AF1325" i="23"/>
  <c r="AF1695" i="23"/>
  <c r="AF2400" i="23"/>
  <c r="AF901" i="23"/>
  <c r="AF2113" i="23"/>
  <c r="AF370" i="23"/>
  <c r="AF2034" i="23"/>
  <c r="AF648" i="23"/>
  <c r="AF1256" i="23"/>
  <c r="AF2787" i="23"/>
  <c r="AF958" i="23"/>
  <c r="AF2395" i="23"/>
  <c r="AF804" i="23"/>
  <c r="AF2716" i="23"/>
  <c r="AF1045" i="23"/>
  <c r="AF1974" i="23"/>
  <c r="AF2050" i="23"/>
  <c r="AF2678" i="23"/>
  <c r="AF1226" i="23"/>
  <c r="AF2419" i="23"/>
  <c r="AF2162" i="23"/>
  <c r="AF1844" i="23"/>
  <c r="AF2391" i="23"/>
  <c r="AF1272" i="23"/>
  <c r="AF1965" i="23"/>
  <c r="AF2416" i="23"/>
  <c r="AF1707" i="23"/>
  <c r="AF2160" i="23"/>
  <c r="AF727" i="23"/>
  <c r="AF1102" i="23"/>
  <c r="AF1151" i="23"/>
  <c r="AF1686" i="23"/>
  <c r="AF2357" i="23"/>
  <c r="AF377" i="23"/>
  <c r="AF1315" i="23"/>
  <c r="AF544" i="23"/>
  <c r="AF1885" i="23"/>
  <c r="AF2302" i="23"/>
  <c r="AF752" i="23"/>
  <c r="AF1925" i="23"/>
  <c r="AF2641" i="23"/>
  <c r="AF871" i="23"/>
  <c r="AF709" i="23"/>
  <c r="AF2412" i="23"/>
  <c r="AF2490" i="23"/>
  <c r="AF1114" i="23"/>
  <c r="AF2269" i="23"/>
  <c r="AF2569" i="23"/>
  <c r="AF2538" i="23"/>
  <c r="AF1832" i="23"/>
  <c r="AF598" i="23"/>
  <c r="AF1590" i="23"/>
  <c r="AF1433" i="23"/>
  <c r="AF741" i="23"/>
  <c r="AF1729" i="23"/>
  <c r="AF487" i="23"/>
  <c r="AF2773" i="23"/>
  <c r="AF2074" i="23"/>
  <c r="AF549" i="23"/>
  <c r="AF1546" i="23"/>
  <c r="AF415" i="23"/>
  <c r="AF1688" i="23"/>
  <c r="AF1124" i="23"/>
  <c r="AF2312" i="23"/>
  <c r="AF2006" i="23"/>
  <c r="AF1169" i="23"/>
  <c r="AF1031" i="23"/>
  <c r="AF2574" i="23"/>
  <c r="AF2627" i="23"/>
  <c r="AF1612" i="23"/>
  <c r="AF442" i="23"/>
  <c r="AF317" i="23"/>
  <c r="AF824" i="23"/>
  <c r="AF394" i="23"/>
  <c r="AF2283" i="23"/>
  <c r="AF2278" i="23"/>
  <c r="AF2306" i="23"/>
  <c r="AF653" i="23"/>
  <c r="AF366" i="23"/>
  <c r="AF704" i="23"/>
  <c r="AF2046" i="23"/>
  <c r="AF514" i="23"/>
  <c r="AF1717" i="23"/>
  <c r="AF925" i="23"/>
  <c r="AF762" i="23"/>
  <c r="AF2772" i="23"/>
  <c r="AF1331" i="23"/>
  <c r="AF1676" i="23"/>
  <c r="AF852" i="23"/>
  <c r="AF2205" i="23"/>
  <c r="AF1196" i="23"/>
  <c r="AF2431" i="23"/>
  <c r="AF690" i="23"/>
  <c r="AF2658" i="23"/>
  <c r="AF1988" i="23"/>
  <c r="AF2000" i="23"/>
  <c r="AF2332" i="23"/>
  <c r="AF837" i="23"/>
  <c r="AF591" i="23"/>
  <c r="AF2719" i="23"/>
  <c r="AF2037" i="23"/>
  <c r="AF1260" i="23"/>
  <c r="AF1954" i="23"/>
  <c r="AF408" i="23"/>
  <c r="AF2467" i="23"/>
  <c r="AF691" i="23"/>
  <c r="AF1434" i="23"/>
  <c r="AF546" i="23"/>
  <c r="AF2200" i="23"/>
  <c r="AF1064" i="23"/>
  <c r="AF2311" i="23"/>
  <c r="AF2252" i="23"/>
  <c r="AF610" i="23"/>
  <c r="AF2107" i="23"/>
  <c r="AF849" i="23"/>
  <c r="AF945" i="23"/>
  <c r="AF333" i="23"/>
  <c r="AF1266" i="23"/>
  <c r="AF1192" i="23"/>
  <c r="AF775" i="23"/>
  <c r="AF899" i="23"/>
  <c r="AF1195" i="23"/>
  <c r="AF629" i="23"/>
  <c r="AF2564" i="23"/>
  <c r="AF2432" i="23"/>
  <c r="AF1834" i="23"/>
  <c r="AF736" i="23"/>
  <c r="AF1449" i="23"/>
  <c r="AF906" i="23"/>
  <c r="AF1461" i="23"/>
  <c r="AF793" i="23"/>
  <c r="AF944" i="23"/>
  <c r="AF2304" i="23"/>
  <c r="AF2729" i="23"/>
  <c r="AF2134" i="23"/>
  <c r="AF2231" i="23"/>
  <c r="AF1051" i="23"/>
  <c r="AF1083" i="23"/>
  <c r="AF1794" i="23"/>
  <c r="AF2536" i="23"/>
  <c r="AF2488" i="23"/>
  <c r="AF1747" i="23"/>
  <c r="AF982" i="23"/>
  <c r="AF2624" i="23"/>
  <c r="AF486" i="23"/>
  <c r="AF456" i="23"/>
  <c r="AF2707" i="23"/>
  <c r="AF2724" i="23"/>
  <c r="AF1248" i="23"/>
  <c r="AF879" i="23"/>
  <c r="AF2769" i="23"/>
  <c r="AF1722" i="23"/>
  <c r="AF2596" i="23"/>
  <c r="AF431" i="23"/>
  <c r="AF794" i="23"/>
  <c r="AF2056" i="23"/>
  <c r="AF1377" i="23"/>
  <c r="AF1693" i="23"/>
  <c r="AF1358" i="23"/>
  <c r="AF1505" i="23"/>
  <c r="AF1948" i="23"/>
  <c r="AF2033" i="23"/>
  <c r="AF2199" i="23"/>
  <c r="AF657" i="23"/>
  <c r="AF2434" i="23"/>
  <c r="AF1942" i="23"/>
  <c r="AF2116" i="23"/>
  <c r="AF579" i="23"/>
  <c r="AF2303" i="23"/>
  <c r="AF2517" i="23"/>
  <c r="AF1641" i="23"/>
  <c r="AF1515" i="23"/>
  <c r="AF416" i="23"/>
  <c r="AF1724" i="23"/>
  <c r="AF1326" i="23"/>
  <c r="AF2546" i="23"/>
  <c r="AF2513" i="23"/>
  <c r="AF2017" i="23"/>
  <c r="AF2085" i="23"/>
  <c r="AF1313" i="23"/>
  <c r="AF812" i="23"/>
  <c r="AF1032" i="23"/>
  <c r="AF888" i="23"/>
  <c r="AF2620" i="23"/>
  <c r="AF676" i="23"/>
  <c r="AF573" i="23"/>
  <c r="AF1951" i="23"/>
  <c r="AF1216" i="23"/>
  <c r="AF2607" i="23"/>
  <c r="AF1175" i="23"/>
  <c r="AF2535" i="23"/>
  <c r="AF1970" i="23"/>
  <c r="AF1959" i="23"/>
  <c r="AF2652" i="23"/>
  <c r="AF1072" i="23"/>
  <c r="AF1017" i="23"/>
  <c r="AF719" i="23"/>
  <c r="AF968" i="23"/>
  <c r="AF2386" i="23"/>
  <c r="AF566" i="23"/>
  <c r="AF2322" i="23"/>
  <c r="AF1482" i="23"/>
  <c r="AF1723" i="23"/>
  <c r="AF2664" i="23"/>
  <c r="AF1418" i="23"/>
  <c r="AF2217" i="23"/>
  <c r="AF1052" i="23"/>
  <c r="AF2623" i="23"/>
  <c r="AF1962" i="23"/>
  <c r="AF1990" i="23"/>
  <c r="AF2194" i="23"/>
  <c r="AF1850" i="23"/>
  <c r="AF1475" i="23"/>
  <c r="AF1698" i="23"/>
  <c r="AF1354" i="23"/>
  <c r="AF1173" i="23"/>
  <c r="AF703" i="23"/>
  <c r="AF1830" i="23"/>
  <c r="AF2790" i="23"/>
  <c r="AF380" i="23"/>
  <c r="AF818" i="23"/>
  <c r="AF502" i="23"/>
  <c r="AF1329" i="23"/>
  <c r="AF2433" i="23"/>
  <c r="AF1081" i="23"/>
  <c r="AF785" i="23"/>
  <c r="AF357" i="23"/>
  <c r="AF641" i="23"/>
  <c r="AF1222" i="23"/>
  <c r="AF1622" i="23"/>
  <c r="AF780" i="23"/>
  <c r="AF1044" i="23"/>
  <c r="AF2796" i="23"/>
  <c r="AF2009" i="23"/>
  <c r="AF2408" i="23"/>
  <c r="AF2737" i="23"/>
  <c r="AF2184" i="23"/>
  <c r="AF1417" i="23"/>
  <c r="AF1589" i="23"/>
  <c r="AF1692" i="23"/>
  <c r="AF2583" i="23"/>
  <c r="AF746" i="23"/>
  <c r="AF1213" i="23"/>
  <c r="AF2264" i="23"/>
  <c r="AF547" i="23"/>
  <c r="AF1872" i="23"/>
  <c r="AF1127" i="23"/>
  <c r="AF772" i="23"/>
  <c r="AF2542" i="23"/>
  <c r="AF2499" i="23"/>
  <c r="AF2632" i="23"/>
  <c r="AF1580" i="23"/>
  <c r="AF390" i="23"/>
  <c r="AF1280" i="23"/>
  <c r="AF1875" i="23"/>
  <c r="AF2377" i="23"/>
  <c r="AF1252" i="23"/>
  <c r="AF2193" i="23"/>
  <c r="AF828" i="23"/>
  <c r="AF2461" i="23"/>
  <c r="AF2765" i="23"/>
  <c r="AF1853" i="23"/>
  <c r="AF1683" i="23"/>
  <c r="AF2233" i="23"/>
  <c r="AF721" i="23"/>
  <c r="AF948" i="23"/>
  <c r="AF575" i="23"/>
  <c r="AF2101" i="23"/>
  <c r="AF554" i="23"/>
  <c r="AF936" i="23"/>
  <c r="AF608" i="23"/>
  <c r="AF2651" i="23"/>
  <c r="AF2798" i="23"/>
  <c r="AF1840" i="23"/>
  <c r="AF1533" i="23"/>
  <c r="AF1751" i="23"/>
  <c r="AF2219" i="23"/>
  <c r="AF1854" i="23"/>
  <c r="AF1126" i="23"/>
  <c r="AF1535" i="23"/>
  <c r="AF489" i="23"/>
  <c r="AF2611" i="23"/>
  <c r="AF699" i="23"/>
  <c r="AF1074" i="23"/>
  <c r="AF770" i="23"/>
  <c r="AF2227" i="23"/>
  <c r="AF324" i="23"/>
  <c r="AF1511" i="23"/>
  <c r="AF1372" i="23"/>
  <c r="AF1766" i="23"/>
  <c r="AF1438" i="23"/>
  <c r="AF2309" i="23"/>
  <c r="AF2368" i="23"/>
  <c r="AF1672" i="23"/>
  <c r="AF1624" i="23"/>
  <c r="AF1285" i="23"/>
  <c r="AF1744" i="23"/>
  <c r="AF920" i="23"/>
  <c r="AF1659" i="23"/>
  <c r="AF615" i="23"/>
  <c r="AF2649" i="23"/>
  <c r="AF2002" i="23"/>
  <c r="AF1808" i="23"/>
  <c r="AF1738" i="23"/>
  <c r="AF1906" i="23"/>
  <c r="AF2118" i="23"/>
  <c r="AF2731" i="23"/>
  <c r="AF1416" i="23"/>
  <c r="AF1936" i="23"/>
  <c r="AF2440" i="23"/>
  <c r="AF2687" i="23"/>
  <c r="AF1568" i="23"/>
  <c r="AF2424" i="23"/>
  <c r="AF1821" i="23"/>
  <c r="AF1186" i="23"/>
  <c r="AF918" i="23"/>
  <c r="AF1353" i="23"/>
  <c r="AF1084" i="23"/>
  <c r="AF2123" i="23"/>
  <c r="AF2710" i="23"/>
  <c r="AF1510" i="23"/>
  <c r="AF1822" i="23"/>
  <c r="AF802" i="23"/>
  <c r="AF1038" i="23"/>
  <c r="AF990" i="23"/>
  <c r="AF1105" i="23"/>
  <c r="AF1212" i="23"/>
  <c r="AF537" i="23"/>
  <c r="AF900" i="23"/>
  <c r="AF1495" i="23"/>
  <c r="AF402" i="23"/>
  <c r="AF521" i="23"/>
  <c r="AF1690" i="23"/>
  <c r="AF782" i="23"/>
  <c r="AF1914" i="23"/>
  <c r="AF2754" i="23"/>
  <c r="AF2054" i="23"/>
  <c r="AF2577" i="23"/>
  <c r="AF484" i="23"/>
  <c r="AF2122" i="23"/>
  <c r="AF353" i="23"/>
  <c r="AF1312" i="23"/>
  <c r="AF1400" i="23"/>
  <c r="AF697" i="23"/>
  <c r="AF397" i="23"/>
  <c r="AF2087" i="23"/>
  <c r="AF2367" i="23"/>
  <c r="AF1560" i="23"/>
  <c r="AF819" i="23"/>
  <c r="AF2761" i="23"/>
  <c r="AF2143" i="23"/>
  <c r="AF2137" i="23"/>
  <c r="AF797" i="23"/>
  <c r="AF1095" i="23"/>
  <c r="AF994" i="23"/>
  <c r="AF1106" i="23"/>
  <c r="AF1521" i="23"/>
  <c r="AF2253" i="23"/>
  <c r="AF2703" i="23"/>
  <c r="AF1046" i="23"/>
  <c r="AF878" i="23"/>
  <c r="AF1814" i="23"/>
  <c r="AF1935" i="23"/>
  <c r="AF1823" i="23"/>
  <c r="AF1300" i="23"/>
  <c r="AF2450" i="23"/>
  <c r="AF2557" i="23"/>
  <c r="AF478" i="23"/>
  <c r="AF508" i="23"/>
  <c r="AF1761" i="23"/>
  <c r="AF820" i="23"/>
  <c r="AF1465" i="23"/>
  <c r="AF1445" i="23"/>
  <c r="AF2058" i="23"/>
  <c r="AF726" i="23"/>
  <c r="AF755" i="23"/>
  <c r="AF865" i="23"/>
  <c r="AF2375" i="23"/>
  <c r="AF2348" i="23"/>
  <c r="AF2106" i="23"/>
  <c r="AF480" i="23"/>
  <c r="AF1765" i="23"/>
  <c r="AF1070" i="23"/>
  <c r="AF2204" i="23"/>
  <c r="AF1746" i="23"/>
  <c r="AF1478" i="23"/>
  <c r="AF1351" i="23"/>
  <c r="AF2372" i="23"/>
  <c r="AF542" i="23"/>
  <c r="AF2674" i="23"/>
  <c r="AF774" i="23"/>
  <c r="AF784" i="23"/>
  <c r="AF2520" i="23"/>
  <c r="AF759" i="23"/>
  <c r="AF2593" i="23"/>
  <c r="AF630" i="23"/>
  <c r="AF2456" i="23"/>
  <c r="AF1749" i="23"/>
  <c r="AF1803" i="23"/>
  <c r="AF1125" i="23"/>
  <c r="AF2403" i="23"/>
  <c r="AF2171" i="23"/>
  <c r="AF1171" i="23"/>
  <c r="AF1459" i="23"/>
  <c r="AF642" i="23"/>
  <c r="AF882" i="23"/>
  <c r="AF1956" i="23"/>
  <c r="AF2153" i="23"/>
  <c r="AF1100" i="23"/>
  <c r="AF2511" i="23"/>
  <c r="AF1647" i="23"/>
  <c r="AF2401" i="23"/>
  <c r="AF2232" i="23"/>
  <c r="AF647" i="23"/>
  <c r="AF2701" i="23"/>
  <c r="AF1592" i="23"/>
  <c r="AF710" i="23"/>
  <c r="AF1121" i="23"/>
  <c r="AF1180" i="23"/>
  <c r="AF1479" i="23"/>
  <c r="AF1200" i="23"/>
  <c r="AF1786" i="23"/>
  <c r="AF2562" i="23"/>
  <c r="AF2526" i="23"/>
  <c r="AF1583" i="23"/>
  <c r="AF336" i="23"/>
  <c r="AF2272" i="23"/>
  <c r="AF1338" i="23"/>
  <c r="AF1627" i="23"/>
  <c r="AF2225" i="23"/>
  <c r="AF2491" i="23"/>
  <c r="AF1599" i="23"/>
  <c r="AF2672" i="23"/>
  <c r="AF2486" i="23"/>
  <c r="AF418" i="23"/>
  <c r="AF2338" i="23"/>
  <c r="AF2114" i="23"/>
  <c r="AF1376" i="23"/>
  <c r="AF855" i="23"/>
  <c r="AF1437" i="23"/>
  <c r="AF880" i="23"/>
  <c r="AF645" i="23"/>
  <c r="AF1564" i="23"/>
  <c r="AF835" i="23"/>
  <c r="AF723" i="23"/>
  <c r="AF1985" i="23"/>
  <c r="AF1833" i="23"/>
  <c r="AF1395" i="23"/>
  <c r="AF2081" i="23"/>
  <c r="AF1352" i="23"/>
  <c r="AF1637" i="23"/>
  <c r="AF1098" i="23"/>
  <c r="AF1156" i="23"/>
  <c r="AF2506" i="23"/>
  <c r="AF1966" i="23"/>
  <c r="AF1658" i="23"/>
  <c r="AF2073" i="23"/>
  <c r="AF430" i="23"/>
  <c r="AF1165" i="23"/>
  <c r="AF2383" i="23"/>
  <c r="AF2019" i="23"/>
  <c r="AF1716" i="23"/>
  <c r="AF488" i="23"/>
  <c r="AF614" i="23"/>
  <c r="AF1443" i="23"/>
  <c r="AF1527" i="23"/>
  <c r="AF2378" i="23"/>
  <c r="AF2780" i="23"/>
  <c r="AF1745" i="23"/>
  <c r="AF2411" i="23"/>
  <c r="AF1363" i="23"/>
  <c r="AF1927" i="23"/>
  <c r="AF2067" i="23"/>
  <c r="AF1928" i="23"/>
  <c r="AF433" i="23"/>
  <c r="AF1924" i="23"/>
  <c r="AF2146" i="23"/>
  <c r="AF2177" i="23"/>
  <c r="AF2310" i="23"/>
  <c r="AF1878" i="23"/>
  <c r="AF346" i="23"/>
  <c r="AF1645" i="23"/>
  <c r="AF1975" i="23"/>
  <c r="AF1094" i="23"/>
  <c r="AF2135" i="23"/>
  <c r="AF1529" i="23"/>
  <c r="AF711" i="23"/>
  <c r="AF2141" i="23"/>
  <c r="AF1639" i="23"/>
  <c r="AF1620" i="23"/>
  <c r="AF1399" i="23"/>
  <c r="AF2479" i="23"/>
  <c r="AF2090" i="23"/>
  <c r="AF1024" i="23"/>
  <c r="AF748" i="23"/>
  <c r="AF2214" i="23"/>
  <c r="AF2453" i="23"/>
  <c r="AF1034" i="23"/>
  <c r="AF1918" i="23"/>
  <c r="AF718" i="23"/>
  <c r="AF1286" i="23"/>
  <c r="AF490" i="23"/>
  <c r="AF1503" i="23"/>
  <c r="AF1801" i="23"/>
  <c r="AF443" i="23"/>
  <c r="AF1257" i="23"/>
  <c r="AF2758" i="23"/>
  <c r="AF1876" i="23"/>
  <c r="AF2109" i="23"/>
  <c r="AF622" i="23"/>
  <c r="AF1909" i="23"/>
  <c r="AF584" i="23"/>
  <c r="AF1255" i="23"/>
  <c r="AF1247" i="23"/>
  <c r="AF2108" i="23"/>
  <c r="AF1393" i="23"/>
  <c r="AF1682" i="23"/>
  <c r="AF1828" i="23"/>
  <c r="AF1773" i="23"/>
  <c r="AF1299" i="23"/>
  <c r="AF1650" i="23"/>
  <c r="AF947" i="23"/>
  <c r="AF356" i="23"/>
  <c r="AF779" i="23"/>
  <c r="AF1679" i="23"/>
  <c r="AF1391" i="23"/>
  <c r="AF446" i="23"/>
  <c r="AF1085" i="23"/>
  <c r="AF1365" i="23"/>
  <c r="AF2339" i="23"/>
  <c r="AF2757" i="23"/>
  <c r="AF2633" i="23"/>
  <c r="AF1714" i="23"/>
  <c r="AF2237" i="23"/>
  <c r="AF1306" i="23"/>
  <c r="AF1347" i="23"/>
  <c r="AF1665" i="23"/>
  <c r="AF2547" i="23"/>
  <c r="AF1062" i="23"/>
  <c r="AF2522" i="23"/>
  <c r="AF2070" i="23"/>
  <c r="AF2195" i="23"/>
  <c r="AF2326" i="23"/>
  <c r="AF619" i="23"/>
  <c r="AF2041" i="23"/>
  <c r="AF2690" i="23"/>
  <c r="AF538" i="23"/>
  <c r="AF2727" i="23"/>
  <c r="AF635" i="23"/>
  <c r="AF2608" i="23"/>
  <c r="AF2202" i="23"/>
  <c r="AF1967" i="23"/>
  <c r="AF1903" i="23"/>
  <c r="AF1772" i="23"/>
  <c r="AF1968" i="23"/>
  <c r="AF1881" i="23"/>
  <c r="AF1130" i="23"/>
  <c r="AF2578" i="23"/>
  <c r="AF2275" i="23"/>
  <c r="AF1838" i="23"/>
  <c r="AF1789" i="23"/>
  <c r="AF1025" i="23"/>
  <c r="AF1852" i="23"/>
  <c r="AF2519" i="23"/>
  <c r="AF360" i="23"/>
  <c r="AF937" i="23"/>
  <c r="AF1153" i="23"/>
  <c r="AF350" i="23"/>
  <c r="AF1010" i="23"/>
  <c r="AF1851" i="23"/>
  <c r="AF971" i="23"/>
  <c r="AF2158" i="23"/>
  <c r="AF965" i="23"/>
  <c r="AF1071" i="23"/>
  <c r="AF2615" i="23"/>
  <c r="AF581" i="23"/>
  <c r="AF1030" i="23"/>
  <c r="AF1755" i="23"/>
  <c r="AF1078" i="23"/>
  <c r="AF964" i="23"/>
  <c r="AF665" i="23"/>
  <c r="AF562" i="23"/>
  <c r="AF2576" i="23"/>
  <c r="AF466" i="23"/>
  <c r="AF2711" i="23"/>
  <c r="AF1753" i="23"/>
  <c r="AF617" i="23"/>
  <c r="AF428" i="23"/>
  <c r="AF768" i="23"/>
  <c r="AF2359" i="23"/>
  <c r="AF1566" i="23"/>
  <c r="AF1317" i="23"/>
  <c r="AF1740" i="23"/>
  <c r="AF1577" i="23"/>
  <c r="AF624" i="23"/>
  <c r="AF1259" i="23"/>
  <c r="AF2093" i="23"/>
  <c r="AF349" i="23"/>
  <c r="AF808" i="23"/>
  <c r="AF735" i="23"/>
  <c r="AF1155" i="23"/>
  <c r="AF393" i="23"/>
  <c r="AF1737" i="23"/>
  <c r="AF1279" i="23"/>
  <c r="AF1360" i="23"/>
  <c r="AF1073" i="23"/>
  <c r="AF493" i="23"/>
  <c r="AF1389" i="23"/>
  <c r="AF2756" i="23"/>
  <c r="AF2374" i="23"/>
  <c r="AF1018" i="23"/>
  <c r="AF1780" i="23"/>
  <c r="AF1075" i="23"/>
  <c r="AF2228" i="23"/>
  <c r="AF2265" i="23"/>
  <c r="AF766" i="23"/>
  <c r="AF2293" i="23"/>
  <c r="AF1037" i="23"/>
  <c r="AF2726" i="23"/>
  <c r="AF571" i="23"/>
  <c r="AF2693" i="23"/>
  <c r="AF680" i="23"/>
  <c r="AF1382" i="23"/>
  <c r="AF2291" i="23"/>
  <c r="AF388" i="23"/>
  <c r="AF1456" i="23"/>
  <c r="AF1964" i="23"/>
  <c r="AF1457" i="23"/>
  <c r="AF605" i="23"/>
  <c r="AF2218" i="23"/>
  <c r="AF1209" i="23"/>
  <c r="AF2355" i="23"/>
  <c r="AF1113" i="23"/>
  <c r="AF2466" i="23"/>
  <c r="AF2222" i="23"/>
  <c r="AF1069" i="23"/>
  <c r="AF1891" i="23"/>
  <c r="AF814" i="23"/>
  <c r="AF1137" i="23"/>
  <c r="AF1868" i="23"/>
  <c r="AF2417" i="23"/>
  <c r="AF2768" i="23"/>
  <c r="AF1230" i="23"/>
  <c r="AF749" i="23"/>
  <c r="AF2685" i="23"/>
  <c r="AF2463" i="23"/>
  <c r="AF2548" i="23"/>
  <c r="AF1054" i="23"/>
  <c r="AF444" i="23"/>
  <c r="AF764" i="23"/>
  <c r="AF448" i="23"/>
  <c r="AF611" i="23"/>
  <c r="AF407" i="23"/>
  <c r="AF669" i="23"/>
  <c r="AF1706" i="23"/>
  <c r="AF1892" i="23"/>
  <c r="AF1468" i="23"/>
  <c r="AF921" i="23"/>
  <c r="AF792" i="23"/>
  <c r="AF1644" i="23"/>
  <c r="AF599" i="23"/>
  <c r="AF2361" i="23"/>
  <c r="AF2438" i="23"/>
  <c r="AF2239" i="23"/>
  <c r="AF597" i="23"/>
  <c r="AF678" i="23"/>
  <c r="AF2485" i="23"/>
  <c r="AF2181" i="23"/>
  <c r="AF340" i="23"/>
  <c r="AF359" i="23"/>
  <c r="AF534" i="23"/>
  <c r="AF2404" i="23"/>
  <c r="AF387" i="23"/>
  <c r="AF2342" i="23"/>
  <c r="AF2713" i="23"/>
  <c r="AF917" i="23"/>
  <c r="AF1308" i="23"/>
  <c r="AF1655" i="23"/>
  <c r="AF1779" i="23"/>
  <c r="AF739" i="23"/>
  <c r="AF1492" i="23"/>
  <c r="AF1215" i="23"/>
  <c r="AF2571" i="23"/>
  <c r="AF1545" i="23"/>
  <c r="AF1162" i="23"/>
  <c r="AF1597" i="23"/>
  <c r="AF2230" i="23"/>
  <c r="AF1890" i="23"/>
  <c r="AF2680" i="23"/>
  <c r="AF2347" i="23"/>
  <c r="AF956" i="23"/>
  <c r="AF1244" i="23"/>
  <c r="AF1621" i="23"/>
  <c r="AF1506" i="23"/>
  <c r="AF1610" i="23"/>
  <c r="AF612" i="23"/>
  <c r="AF453" i="23"/>
  <c r="AF1291" i="23"/>
  <c r="AF1385" i="23"/>
  <c r="AF1491" i="23"/>
  <c r="AF2592" i="23"/>
  <c r="AF1575" i="23"/>
  <c r="AF1617" i="23"/>
  <c r="AF1631" i="23"/>
  <c r="AF1057" i="23"/>
  <c r="AF1276" i="23"/>
  <c r="AF1294" i="23"/>
  <c r="AF671" i="23"/>
  <c r="AF476" i="23"/>
  <c r="AF841" i="23"/>
  <c r="AF560" i="23"/>
  <c r="AF2115" i="23"/>
  <c r="AF955" i="23"/>
  <c r="AF1483" i="23"/>
  <c r="AF2267" i="23"/>
  <c r="AF2038" i="23"/>
  <c r="AF2709" i="23"/>
  <c r="AF2373" i="23"/>
  <c r="AF2007" i="23"/>
  <c r="AF693" i="23"/>
  <c r="AF850" i="23"/>
  <c r="AF1231" i="23"/>
  <c r="AF2558" i="23"/>
  <c r="AF1117" i="23"/>
  <c r="AF2413" i="23"/>
  <c r="AF2482" i="23"/>
  <c r="AF1630" i="23"/>
  <c r="AF1284" i="23"/>
  <c r="AF996" i="23"/>
  <c r="AF2529" i="23"/>
  <c r="AF2032" i="23"/>
  <c r="AF1097" i="23"/>
  <c r="AF2354" i="23"/>
  <c r="AF979" i="23"/>
  <c r="AF1937" i="23"/>
  <c r="AF495" i="23"/>
  <c r="AF1454" i="23"/>
  <c r="AF1736" i="23"/>
  <c r="AF993" i="23"/>
  <c r="AF1199" i="23"/>
  <c r="AF670" i="23"/>
  <c r="AF2285" i="23"/>
  <c r="AF1408" i="23"/>
  <c r="AF1144" i="23"/>
  <c r="AF688" i="23"/>
  <c r="AF2128" i="23"/>
  <c r="AF528" i="23"/>
  <c r="AF1763" i="23"/>
  <c r="AF1700" i="23"/>
  <c r="AF2300" i="23"/>
  <c r="AF1261" i="23"/>
  <c r="AF1123" i="23"/>
  <c r="AF2508" i="23"/>
  <c r="AF1893" i="23"/>
  <c r="AF483" i="23"/>
  <c r="AF2523" i="23"/>
  <c r="AF2016" i="23"/>
  <c r="AF412" i="23"/>
  <c r="AF761" i="23"/>
  <c r="AF1519" i="23"/>
  <c r="AF2323" i="23"/>
  <c r="AF1415" i="23"/>
  <c r="AF1398" i="23"/>
  <c r="AF1603" i="23"/>
  <c r="AF2797" i="23"/>
  <c r="AF1237" i="23"/>
  <c r="AF2012" i="23"/>
  <c r="AF626" i="23"/>
  <c r="AF778" i="23"/>
  <c r="AF2498" i="23"/>
  <c r="AF2057" i="23"/>
  <c r="AF1536" i="23"/>
  <c r="AF1193" i="23"/>
  <c r="AF596" i="23"/>
  <c r="AF1374" i="23"/>
  <c r="AF2028" i="23"/>
  <c r="AF1782" i="23"/>
  <c r="AF738" i="23"/>
  <c r="AF2238" i="23"/>
  <c r="AF396" i="23"/>
  <c r="AF2297" i="23"/>
  <c r="AF1056" i="23"/>
  <c r="AF627" i="23"/>
  <c r="AF1406" i="23"/>
  <c r="AF2044" i="23"/>
  <c r="AF960" i="23"/>
  <c r="AF832" i="23"/>
  <c r="AF1670" i="23"/>
  <c r="AF455" i="23"/>
  <c r="AF1596" i="23"/>
  <c r="AF1485" i="23"/>
  <c r="AF1194" i="23"/>
  <c r="AF1341" i="23"/>
  <c r="AF870" i="23"/>
  <c r="AF940" i="23"/>
  <c r="AF1725" i="23"/>
  <c r="AF2206" i="23"/>
  <c r="AF1570" i="23"/>
  <c r="AF1093" i="23"/>
  <c r="AF1131" i="23"/>
  <c r="AF2643" i="23"/>
  <c r="AF1741" i="23"/>
  <c r="AF754" i="23"/>
  <c r="AF651" i="23"/>
  <c r="AF2040" i="23"/>
  <c r="AF2552" i="23"/>
  <c r="AF1582" i="23"/>
  <c r="AF352" i="23"/>
  <c r="AF1703" i="23"/>
  <c r="AF861" i="23"/>
  <c r="AF595" i="23"/>
  <c r="AF2301" i="23"/>
  <c r="AF909" i="23"/>
  <c r="AF411" i="23"/>
  <c r="AF1236" i="23"/>
  <c r="AF1115" i="23"/>
  <c r="AF2435" i="23"/>
  <c r="AF776" i="23"/>
  <c r="AF2751" i="23"/>
  <c r="AF700" i="23"/>
  <c r="AF2409" i="23"/>
  <c r="AF2677" i="23"/>
  <c r="AF539" i="23"/>
  <c r="AF1873" i="23"/>
  <c r="AF2575" i="23"/>
  <c r="AF2794" i="23"/>
  <c r="AF2777" i="23"/>
  <c r="AF510" i="23"/>
  <c r="AF681" i="23"/>
  <c r="AF2092" i="23"/>
  <c r="AF2068" i="23"/>
  <c r="AF1912" i="23"/>
  <c r="AF2800" i="23"/>
  <c r="AF2014" i="23"/>
  <c r="AF961" i="23"/>
  <c r="AF2076" i="23"/>
  <c r="AF931" i="23"/>
  <c r="AF335" i="23"/>
  <c r="AF637" i="23"/>
  <c r="AF2662" i="23"/>
  <c r="AF2629" i="23"/>
  <c r="AF1855" i="23"/>
  <c r="AF375" i="23"/>
  <c r="AF1394" i="23"/>
  <c r="AF1089" i="23"/>
  <c r="AF2733" i="23"/>
  <c r="AF2634" i="23"/>
  <c r="AF2210" i="23"/>
  <c r="AF384" i="23"/>
  <c r="AF1477" i="23"/>
  <c r="AF1334" i="23"/>
  <c r="AF1848" i="23"/>
  <c r="AF1732" i="23"/>
  <c r="AF1842" i="23"/>
  <c r="AF1225" i="23"/>
  <c r="AF2149" i="23"/>
  <c r="AF1450" i="23"/>
  <c r="AF1397" i="23"/>
  <c r="AF2364" i="23"/>
  <c r="AF2185" i="23"/>
  <c r="AF2001" i="23"/>
  <c r="AF1863" i="23"/>
  <c r="AF1014" i="23"/>
  <c r="AF1022" i="23"/>
  <c r="AF750" i="23"/>
  <c r="AF1128" i="23"/>
  <c r="AF2638" i="23"/>
  <c r="AF1076" i="23"/>
  <c r="AF2541" i="23"/>
  <c r="AF1253" i="23"/>
  <c r="AF1932" i="23"/>
  <c r="AF2585" i="23"/>
  <c r="AF1684" i="23"/>
  <c r="AF1188" i="23"/>
  <c r="AF1898" i="23"/>
  <c r="AF1232" i="23"/>
  <c r="AF354" i="23"/>
  <c r="AF928" i="23"/>
  <c r="AF1049" i="23"/>
  <c r="AF1427" i="23"/>
  <c r="AF1448" i="23"/>
  <c r="AF503" i="23"/>
  <c r="AF337" i="23"/>
  <c r="AF1931" i="23"/>
  <c r="AF1996" i="23"/>
  <c r="AF2785" i="23"/>
  <c r="AF1179" i="23"/>
  <c r="AF1882" i="23"/>
  <c r="AF877" i="23"/>
  <c r="AF1634" i="23"/>
  <c r="AF1550" i="23"/>
  <c r="AF976" i="23"/>
  <c r="AF1819" i="23"/>
  <c r="AF2366" i="23"/>
  <c r="AF2191" i="23"/>
  <c r="AF2207" i="23"/>
  <c r="AF1410" i="23"/>
  <c r="AF939" i="23"/>
  <c r="AF420" i="23"/>
  <c r="AF2080" i="23"/>
  <c r="AF2410" i="23"/>
  <c r="AF1986" i="23"/>
  <c r="AF1111" i="23"/>
  <c r="AF743" i="23"/>
  <c r="AF1512" i="23"/>
  <c r="AF2570" i="23"/>
  <c r="AF1731" i="23"/>
  <c r="AF2370" i="23"/>
  <c r="AF2053" i="23"/>
  <c r="AF1541" i="23"/>
  <c r="AF2691" i="23"/>
  <c r="AF1859" i="23"/>
  <c r="AF1091" i="23"/>
  <c r="AF2059" i="23"/>
  <c r="AF2111" i="23"/>
  <c r="AF1148" i="23"/>
  <c r="AF509" i="23"/>
  <c r="AF2472" i="23"/>
  <c r="AF545" i="23"/>
  <c r="AF2110" i="23"/>
  <c r="AF457" i="23"/>
  <c r="AF969" i="23"/>
  <c r="AF2351" i="23"/>
  <c r="AF679" i="23"/>
  <c r="AF2478" i="23"/>
  <c r="AF477" i="23"/>
  <c r="AF2670" i="23"/>
  <c r="AF2657" i="23"/>
  <c r="AF2704" i="23"/>
  <c r="AF2147" i="23"/>
  <c r="AF662" i="23"/>
  <c r="AF1425" i="23"/>
  <c r="AF1281" i="23"/>
  <c r="AF2356" i="23"/>
  <c r="AF1061" i="23"/>
  <c r="AF2477" i="23"/>
  <c r="AF1189" i="23"/>
  <c r="AF564" i="23"/>
  <c r="AF1675" i="23"/>
  <c r="AF1869" i="23"/>
  <c r="AF856" i="23"/>
  <c r="AF1664" i="23"/>
  <c r="AF405" i="23"/>
  <c r="AF1733" i="23"/>
  <c r="AF876" i="23"/>
  <c r="AF1539" i="23"/>
  <c r="AF602" i="23"/>
  <c r="AF2048" i="23"/>
  <c r="AF2020" i="23"/>
  <c r="AF1809" i="23"/>
  <c r="AF413" i="23"/>
  <c r="AF1517" i="23"/>
  <c r="AF2594" i="23"/>
  <c r="AF2298" i="23"/>
  <c r="AF1507" i="23"/>
  <c r="AF2102" i="23"/>
  <c r="AF1979" i="23"/>
  <c r="AF1579" i="23"/>
  <c r="AF977" i="23"/>
  <c r="AF355" i="23"/>
  <c r="AF975" i="23"/>
  <c r="AF1508" i="23"/>
  <c r="AF2025" i="23"/>
  <c r="AF1643" i="23"/>
  <c r="AF2124" i="23"/>
  <c r="AF1888" i="23"/>
  <c r="AF1109" i="23"/>
  <c r="AF606" i="23"/>
  <c r="AF429" i="23"/>
  <c r="AF1337" i="23"/>
  <c r="AF1770" i="23"/>
  <c r="AF2681" i="23"/>
  <c r="AF1500" i="23"/>
  <c r="AF1373" i="23"/>
  <c r="AF1080" i="23"/>
  <c r="AF1625" i="23"/>
  <c r="AF2236" i="23"/>
  <c r="AF1221" i="23"/>
  <c r="AF461" i="23"/>
  <c r="AF1857" i="23"/>
  <c r="AF1314" i="23"/>
  <c r="AF1302" i="23"/>
  <c r="AF460" i="23"/>
  <c r="AF1759" i="23"/>
  <c r="AF1058" i="23"/>
  <c r="AF1404" i="23"/>
  <c r="AF2774" i="23"/>
  <c r="AF2439" i="23"/>
  <c r="AF1290" i="23"/>
  <c r="AF2616" i="23"/>
  <c r="AF2743" i="23"/>
  <c r="AF1544" i="23"/>
  <c r="AF2208" i="23"/>
  <c r="AF2156" i="23"/>
  <c r="AF2103" i="23"/>
  <c r="AF2307" i="23"/>
  <c r="AF2484" i="23"/>
  <c r="AF1405" i="23"/>
  <c r="AF2402" i="23"/>
  <c r="AF2669" i="23"/>
  <c r="AF2216" i="23"/>
  <c r="AF769" i="23"/>
  <c r="AF2753" i="23"/>
  <c r="AF2261" i="23"/>
  <c r="AF1019" i="23"/>
  <c r="AF417" i="23"/>
  <c r="AF1687" i="23"/>
  <c r="AF930" i="23"/>
  <c r="AF371" i="23"/>
  <c r="AF341" i="23"/>
  <c r="AF2343" i="23"/>
  <c r="AF2069" i="23"/>
  <c r="AF2274" i="23"/>
  <c r="AF2676" i="23"/>
  <c r="AF1648" i="23"/>
  <c r="AF613" i="23"/>
  <c r="AF2043" i="23"/>
  <c r="AF2281" i="23"/>
  <c r="AF1350" i="23"/>
  <c r="AF2026" i="23"/>
  <c r="AF1488" i="23"/>
  <c r="AF2245" i="23"/>
  <c r="AF398" i="23"/>
  <c r="AF2744" i="23"/>
  <c r="AF2714" i="23"/>
  <c r="AF2625" i="23"/>
  <c r="AF2241" i="23"/>
  <c r="AF2717" i="23"/>
  <c r="AF1681" i="23"/>
  <c r="AF729" i="23"/>
  <c r="AF1203" i="23"/>
  <c r="AF827" i="23"/>
  <c r="AF552" i="23"/>
  <c r="AF1680" i="23"/>
  <c r="AF1756" i="23"/>
  <c r="AF1026" i="23"/>
  <c r="AF1886" i="23"/>
  <c r="AF2240" i="23"/>
  <c r="AF1547" i="23"/>
  <c r="AF533" i="23"/>
  <c r="AF652" i="23"/>
  <c r="AF1704" i="23"/>
  <c r="AF1955" i="23"/>
  <c r="AF468" i="23"/>
  <c r="AF2697" i="23"/>
  <c r="AF2770" i="23"/>
  <c r="AF1593" i="23"/>
  <c r="AF967" i="23"/>
  <c r="AF1836" i="23"/>
  <c r="AF2192" i="23"/>
  <c r="AF2169" i="23"/>
  <c r="AF2464" i="23"/>
  <c r="AF2104" i="23"/>
  <c r="AF1451" i="23"/>
  <c r="AF485" i="23"/>
  <c r="AF860" i="23"/>
  <c r="AF2157" i="23"/>
  <c r="AF1769" i="23"/>
  <c r="AF903" i="23"/>
  <c r="AF1172" i="23"/>
  <c r="AF628" i="23"/>
  <c r="AF2601" i="23"/>
  <c r="AF2590" i="23"/>
  <c r="AF1463" i="23"/>
  <c r="AF449" i="23"/>
  <c r="AF986" i="23"/>
  <c r="AF2415" i="23"/>
  <c r="AF2584" i="23"/>
  <c r="AF2543" i="23"/>
  <c r="AF957" i="23"/>
  <c r="AF995" i="23"/>
  <c r="AF1861" i="23"/>
  <c r="AF2276" i="23"/>
  <c r="AF621" i="23"/>
  <c r="AF1895" i="23"/>
  <c r="AF1632" i="23"/>
  <c r="AF2282" i="23"/>
  <c r="AF1086" i="23"/>
  <c r="AF2793" i="23"/>
  <c r="AF2448" i="23"/>
  <c r="AF592" i="23"/>
  <c r="AF2027" i="23"/>
  <c r="AF1453" i="23"/>
  <c r="AF2510" i="23"/>
  <c r="AF829" i="23"/>
  <c r="AF2580" i="23"/>
  <c r="AF1152" i="23"/>
  <c r="AF2024" i="23"/>
  <c r="AF1227" i="23"/>
  <c r="AF1949" i="23"/>
  <c r="AF667" i="23"/>
  <c r="AF1016" i="23"/>
  <c r="AF2094" i="23"/>
  <c r="AF422" i="23"/>
  <c r="AF987" i="23"/>
  <c r="AF1864" i="23"/>
  <c r="AF2318" i="23"/>
  <c r="AF1103" i="23"/>
  <c r="AF1532" i="23"/>
  <c r="AF1778" i="23"/>
  <c r="AF1940" i="23"/>
  <c r="AF2525" i="23"/>
  <c r="AF1501" i="23"/>
  <c r="AF1471" i="23"/>
  <c r="AF1059" i="23"/>
  <c r="AF2465" i="23"/>
  <c r="AF2060" i="23"/>
  <c r="AF838" i="23"/>
  <c r="AF2791" i="23"/>
  <c r="AF2700" i="23"/>
  <c r="AF1132" i="23"/>
  <c r="AF897" i="23"/>
  <c r="AF1947" i="23"/>
  <c r="AF2605" i="23"/>
  <c r="AF2334" i="23"/>
  <c r="AF1090" i="23"/>
  <c r="AF1961" i="23"/>
  <c r="AF404" i="23"/>
  <c r="AF1877" i="23"/>
  <c r="AF2452" i="23"/>
  <c r="AF1079" i="23"/>
  <c r="AF2563" i="23"/>
  <c r="AF1140" i="23"/>
  <c r="AF757" i="23"/>
  <c r="AF1783" i="23"/>
  <c r="AF1348" i="23"/>
  <c r="AF1000" i="23"/>
  <c r="AF2175" i="23"/>
  <c r="AF1969" i="23"/>
  <c r="AF2336" i="23"/>
  <c r="AF1233" i="23"/>
  <c r="AF2224" i="23"/>
  <c r="AF2540" i="23"/>
  <c r="AF1053" i="23"/>
  <c r="AF1420" i="23"/>
  <c r="AF1298" i="23"/>
  <c r="AF1880" i="23"/>
  <c r="AF1774" i="23"/>
  <c r="AF912" i="23"/>
  <c r="AF2600" i="23"/>
  <c r="AF1804" i="23"/>
  <c r="AF740" i="23"/>
  <c r="AF491" i="23"/>
  <c r="AF2089" i="23"/>
  <c r="AF409" i="23"/>
  <c r="AF572" i="23"/>
  <c r="AF568" i="23"/>
  <c r="AF1003" i="23"/>
  <c r="AF1164" i="23"/>
  <c r="AF696" i="23"/>
  <c r="AF1118" i="23"/>
  <c r="AF1841" i="23"/>
  <c r="AF1660" i="23"/>
  <c r="AF2656" i="23"/>
  <c r="AF2077" i="23"/>
  <c r="AF2671" i="23"/>
  <c r="AF2148" i="23"/>
  <c r="AF574" i="23"/>
  <c r="AF1553" i="23"/>
  <c r="AF1262" i="23"/>
  <c r="AF1835" i="23"/>
  <c r="AF2319" i="23"/>
  <c r="AF2345" i="23"/>
  <c r="AF1344" i="23"/>
  <c r="AF1277" i="23"/>
  <c r="AF1357" i="23"/>
  <c r="AF2086" i="23"/>
  <c r="AF1214" i="23"/>
  <c r="AF2589" i="23"/>
  <c r="AF1036" i="23"/>
  <c r="AF1811" i="23"/>
  <c r="AF913" i="23"/>
  <c r="AF2792" i="23"/>
  <c r="AF2382" i="23"/>
  <c r="AF343" i="23"/>
  <c r="AF1159" i="23"/>
  <c r="AF1409" i="23"/>
  <c r="AF1107" i="23"/>
  <c r="AF717" i="23"/>
  <c r="AF1554" i="23"/>
  <c r="AF2781" i="23"/>
  <c r="AF694" i="23"/>
  <c r="AF2260" i="23"/>
  <c r="AF1993" i="23"/>
  <c r="AF2653" i="23"/>
  <c r="AF1251" i="23"/>
  <c r="AF702" i="23"/>
  <c r="AF580" i="23"/>
  <c r="AC1943" i="24"/>
  <c r="AC2590" i="24"/>
  <c r="AC2591" i="24" s="1"/>
  <c r="AF1320" i="23" l="1"/>
  <c r="AF1847" i="23"/>
  <c r="AF649" i="23"/>
  <c r="AF1752" i="23"/>
  <c r="AF1887" i="23"/>
  <c r="AF650" i="23"/>
  <c r="AF2764" i="23"/>
  <c r="AF1646" i="23"/>
  <c r="AF2470" i="23"/>
  <c r="AF373" i="23"/>
  <c r="AF2341" i="23"/>
  <c r="AF2528" i="23"/>
  <c r="AF2112" i="23"/>
  <c r="AF1867" i="23"/>
  <c r="AF2163" i="23"/>
  <c r="AF2663" i="23"/>
  <c r="AF1728" i="23"/>
  <c r="AF1793" i="23"/>
  <c r="AF331" i="23"/>
  <c r="AF2667" i="23"/>
  <c r="AF475" i="23"/>
  <c r="AF1561" i="23"/>
  <c r="AF1183" i="23"/>
  <c r="AF1282" i="23"/>
  <c r="AF658" i="23"/>
  <c r="AF934" i="23"/>
  <c r="AF1296" i="23"/>
  <c r="AF636" i="23"/>
  <c r="AF1976" i="23"/>
  <c r="AF1220" i="23"/>
  <c r="AF2795" i="23"/>
  <c r="AF2534" i="23"/>
  <c r="AF1790" i="23"/>
  <c r="AF1549" i="23"/>
  <c r="AF1333" i="23"/>
  <c r="AF1899" i="23"/>
  <c r="AF1283" i="23"/>
  <c r="AF378" i="23"/>
  <c r="AF867" i="23"/>
  <c r="AF1742" i="23"/>
  <c r="AF481" i="23"/>
  <c r="AF369" i="23"/>
  <c r="AF1349" i="23"/>
  <c r="AF565" i="23"/>
  <c r="AF2384" i="23"/>
  <c r="AF2198" i="23"/>
  <c r="AF1604" i="23"/>
  <c r="AF1250" i="23"/>
  <c r="AF1595" i="23"/>
  <c r="AF567" i="23"/>
  <c r="AF894" i="23"/>
  <c r="AF2063" i="23"/>
  <c r="AF1825" i="23"/>
  <c r="AF601" i="23"/>
  <c r="AF646" i="23"/>
  <c r="AF1712" i="23"/>
  <c r="AF2139" i="23"/>
  <c r="AF1328" i="23"/>
  <c r="AF985" i="23"/>
  <c r="AF883" i="23"/>
  <c r="AF1635" i="23"/>
  <c r="AF500" i="23"/>
  <c r="AF582" i="23"/>
  <c r="AF1228" i="23"/>
  <c r="AF1513" i="23"/>
  <c r="AF507" i="23"/>
  <c r="AF2182" i="23"/>
  <c r="AF506" i="23"/>
  <c r="AF1235" i="23"/>
  <c r="AF374" i="23"/>
  <c r="AF2588" i="23"/>
  <c r="AF2451" i="23"/>
  <c r="AF351" i="23"/>
  <c r="AF760" i="23"/>
  <c r="AF1403" i="23"/>
  <c r="AF1799" i="23"/>
  <c r="AF2696" i="23"/>
  <c r="AF2088" i="23"/>
  <c r="AF2174" i="23"/>
  <c r="AF1699" i="23"/>
  <c r="AF1520" i="23"/>
  <c r="AF1141" i="23"/>
  <c r="AF2388" i="23"/>
  <c r="AF728" i="23"/>
  <c r="AF618" i="23"/>
  <c r="AF1146" i="23"/>
  <c r="AF2161" i="23"/>
  <c r="AF732" i="23"/>
  <c r="AF2492" i="23"/>
  <c r="AF458" i="23"/>
  <c r="AF313" i="23"/>
  <c r="AF2284" i="23"/>
  <c r="AF846" i="23"/>
  <c r="AF2072" i="23"/>
  <c r="AF2572" i="23"/>
  <c r="AF1001" i="23"/>
  <c r="AF1983" i="23"/>
  <c r="AF1916" i="23"/>
  <c r="AF1797" i="23"/>
  <c r="AF2423" i="23"/>
  <c r="AF2784" i="23"/>
  <c r="AF576" i="23"/>
  <c r="AF842" i="23"/>
  <c r="AF801" i="23"/>
  <c r="AF2316" i="23"/>
  <c r="AF2256" i="23"/>
  <c r="AF2495" i="23"/>
  <c r="AF2215" i="23"/>
  <c r="AF1636" i="23"/>
  <c r="AF715" i="23"/>
  <c r="AF2065" i="23"/>
  <c r="AF557" i="23"/>
  <c r="AF325" i="23"/>
  <c r="AF1447" i="23"/>
  <c r="AF791" i="23"/>
  <c r="AF935" i="23"/>
  <c r="AF1802" i="23"/>
  <c r="AF2741" i="23"/>
  <c r="AF1055" i="23"/>
  <c r="AF1576" i="23"/>
  <c r="AF1652" i="23"/>
  <c r="AF527" i="23"/>
  <c r="AF830" i="23"/>
  <c r="AF1474" i="23"/>
  <c r="AF2246" i="23"/>
  <c r="AF1185" i="23"/>
  <c r="AF1543" i="23"/>
  <c r="AF1040" i="23"/>
  <c r="AF367" i="23"/>
  <c r="AF1831" i="23"/>
  <c r="AF751" i="23"/>
  <c r="AF2337" i="23"/>
  <c r="AF943" i="23"/>
  <c r="AF2015" i="23"/>
  <c r="AF2220" i="23"/>
  <c r="AF2049" i="23"/>
  <c r="AF1143" i="23"/>
  <c r="AF2387" i="23"/>
  <c r="AF1806" i="23"/>
  <c r="AF1452" i="23"/>
  <c r="AF1764" i="23"/>
  <c r="AF952" i="23"/>
  <c r="AF531" i="23"/>
  <c r="AF2591" i="23"/>
  <c r="AF1980" i="23"/>
  <c r="AF805" i="23"/>
  <c r="AF2531" i="23"/>
  <c r="AF2735" i="23"/>
  <c r="AF2661" i="23"/>
  <c r="AF2551" i="23"/>
  <c r="AF2234" i="23"/>
  <c r="AF1514" i="23"/>
  <c r="AF911" i="23"/>
  <c r="AF1112" i="23"/>
  <c r="AF2579" i="23"/>
  <c r="AF389" i="23"/>
  <c r="AF1039" i="23"/>
  <c r="AF2414" i="23"/>
  <c r="AF2197" i="23"/>
  <c r="AF519" i="23"/>
  <c r="AF559" i="23"/>
  <c r="AF2173" i="23"/>
  <c r="AF1879" i="23"/>
  <c r="AF1502" i="23"/>
  <c r="AF616" i="23"/>
  <c r="AF2376" i="23"/>
  <c r="AF2097" i="23"/>
  <c r="AF836" i="23"/>
  <c r="AF358" i="23"/>
  <c r="AF463" i="23"/>
  <c r="AF1293" i="23"/>
  <c r="AF553" i="23"/>
  <c r="AF1523" i="23"/>
  <c r="AF2407" i="23"/>
  <c r="AF1992" i="23"/>
  <c r="AF2654" i="23"/>
  <c r="AF551" i="23"/>
  <c r="AF1210" i="23"/>
  <c r="AF2273" i="23"/>
  <c r="AF1319" i="23"/>
  <c r="AF672" i="23"/>
  <c r="AF632" i="23"/>
  <c r="AF550" i="23"/>
  <c r="AF2064" i="23"/>
  <c r="AF1824" i="23"/>
  <c r="AF886" i="23"/>
  <c r="AF2131" i="23"/>
  <c r="AF2747" i="23"/>
  <c r="AF2699" i="23"/>
  <c r="AF2468" i="23"/>
  <c r="AF1991" i="23"/>
  <c r="AF1229" i="23"/>
  <c r="AF423" i="23"/>
  <c r="AF919" i="23"/>
  <c r="AF5" i="23"/>
  <c r="AF260" i="23"/>
  <c r="AF203" i="23"/>
  <c r="AF201" i="23"/>
  <c r="AF133" i="23"/>
  <c r="AF44" i="23"/>
  <c r="AF234" i="23"/>
  <c r="AF175" i="23"/>
  <c r="AF190" i="23"/>
  <c r="AF98" i="23"/>
  <c r="AF105" i="23"/>
  <c r="AF145" i="23"/>
  <c r="AF146" i="23"/>
  <c r="AF224" i="23"/>
  <c r="AF198" i="23"/>
  <c r="AF94" i="23"/>
  <c r="AF239" i="23"/>
  <c r="AF217" i="23"/>
  <c r="AF62" i="23"/>
  <c r="AF170" i="23"/>
  <c r="AF271" i="23"/>
  <c r="AF142" i="23"/>
  <c r="AF60" i="23"/>
  <c r="AF12" i="23"/>
  <c r="AF102" i="23"/>
  <c r="AF227" i="23"/>
  <c r="AF147" i="23"/>
  <c r="AF96" i="23"/>
  <c r="AF180" i="23"/>
  <c r="AF4" i="23"/>
  <c r="AF256" i="23"/>
  <c r="AF26" i="23"/>
  <c r="AF193" i="23"/>
  <c r="AF73" i="23"/>
  <c r="AF124" i="23"/>
  <c r="AF241" i="23"/>
  <c r="AF173" i="23"/>
  <c r="AF191" i="23"/>
  <c r="AF183" i="23"/>
  <c r="AF8" i="23"/>
  <c r="AF83" i="23"/>
  <c r="AF135" i="23"/>
  <c r="AF223" i="23"/>
  <c r="AF169" i="23"/>
  <c r="AF206" i="23"/>
  <c r="AF174" i="23"/>
  <c r="AF240" i="23"/>
  <c r="AF77" i="23"/>
  <c r="AF71" i="23"/>
  <c r="AF177" i="23"/>
  <c r="AF43" i="23"/>
  <c r="AF95" i="23"/>
  <c r="AF188" i="23"/>
  <c r="AF194" i="23"/>
  <c r="AF168" i="23"/>
  <c r="AF85" i="23"/>
  <c r="AF265" i="23"/>
  <c r="AF212" i="23"/>
  <c r="AF182" i="23"/>
  <c r="AF220" i="23"/>
  <c r="AF159" i="23"/>
  <c r="AF278" i="23"/>
  <c r="AF226" i="23"/>
  <c r="AF289" i="23"/>
  <c r="AF189" i="23"/>
  <c r="AF243" i="23"/>
  <c r="AF282" i="23"/>
  <c r="AF40" i="23"/>
  <c r="AF269" i="23"/>
  <c r="AF184" i="23"/>
  <c r="AF266" i="23"/>
  <c r="AF38" i="23"/>
  <c r="AF57" i="23"/>
  <c r="AF167" i="23"/>
  <c r="AF137" i="23"/>
  <c r="AF61" i="23"/>
  <c r="AF47" i="23"/>
  <c r="AF66" i="23"/>
  <c r="AF125" i="23"/>
  <c r="AF164" i="23"/>
  <c r="AF281" i="23"/>
  <c r="AF42" i="23"/>
  <c r="AF24" i="23"/>
  <c r="AF196" i="23"/>
  <c r="AF37" i="23"/>
  <c r="AF238" i="23"/>
  <c r="AF210" i="23"/>
  <c r="AF208" i="23"/>
  <c r="AE6" i="23"/>
  <c r="AF197" i="23"/>
  <c r="AF166" i="23"/>
  <c r="AF144" i="23"/>
  <c r="AF244" i="23"/>
  <c r="AF171" i="23"/>
  <c r="AF114" i="23"/>
  <c r="AF221" i="23"/>
  <c r="AF280" i="23"/>
  <c r="AF19" i="23"/>
  <c r="AF84" i="23"/>
  <c r="AF214" i="23"/>
  <c r="AF25" i="23"/>
  <c r="AF59" i="23"/>
  <c r="AF231" i="23"/>
  <c r="AF172" i="23"/>
  <c r="AF128" i="23"/>
  <c r="AF63" i="23"/>
  <c r="AF259" i="23"/>
  <c r="AF288" i="23"/>
  <c r="AF10" i="23"/>
  <c r="AF250" i="23"/>
  <c r="AF140" i="23"/>
  <c r="AF148" i="23"/>
  <c r="AF69" i="23"/>
  <c r="AF100" i="23"/>
  <c r="AF70" i="23"/>
  <c r="AF245" i="23"/>
  <c r="AF88" i="23"/>
  <c r="AF9" i="23"/>
  <c r="AF149" i="23"/>
  <c r="AF107" i="23"/>
  <c r="AF225" i="23"/>
  <c r="AF230" i="23"/>
  <c r="AF14" i="23"/>
  <c r="AF213" i="23"/>
  <c r="AF113" i="23"/>
  <c r="AF291" i="23"/>
  <c r="AF28" i="23"/>
  <c r="AF274" i="23"/>
  <c r="AF29" i="23"/>
  <c r="AF286" i="23"/>
  <c r="AF64" i="23"/>
  <c r="AF50" i="23"/>
  <c r="AF23" i="23"/>
  <c r="AF258" i="23"/>
  <c r="AF20" i="23"/>
  <c r="AF178" i="23"/>
  <c r="AF176" i="23"/>
  <c r="AF165" i="23"/>
  <c r="AF97" i="23"/>
  <c r="AF21" i="23"/>
  <c r="AF17" i="23"/>
  <c r="AF15" i="23"/>
  <c r="AF130" i="23"/>
  <c r="AF143" i="23"/>
  <c r="AF236" i="23"/>
  <c r="AF264" i="23"/>
  <c r="AF79" i="23"/>
  <c r="AF200" i="23"/>
  <c r="AF157" i="23"/>
  <c r="AF249" i="23"/>
  <c r="AF90" i="23"/>
  <c r="AF119" i="23"/>
  <c r="AF273" i="23"/>
  <c r="AF74" i="23"/>
  <c r="AF51" i="23"/>
  <c r="AF82" i="23"/>
  <c r="AF122" i="23"/>
  <c r="AF123" i="23"/>
  <c r="AF127" i="23"/>
  <c r="AF49" i="23"/>
  <c r="AF153" i="23"/>
  <c r="AF126" i="23"/>
  <c r="AF276" i="23"/>
  <c r="AF116" i="23"/>
  <c r="AF272" i="23"/>
  <c r="AF91" i="23"/>
  <c r="AF216" i="23"/>
  <c r="AF192" i="23"/>
  <c r="AF222" i="23"/>
  <c r="AF162" i="23"/>
  <c r="AF39" i="23"/>
  <c r="AF109" i="23"/>
  <c r="AF138" i="23"/>
  <c r="AF67" i="23"/>
  <c r="AF199" i="23"/>
  <c r="AF118" i="23"/>
  <c r="AF277" i="23"/>
  <c r="AF68" i="23"/>
  <c r="AF284" i="23"/>
  <c r="AF155" i="23"/>
  <c r="AF209" i="23"/>
  <c r="AF246" i="23"/>
  <c r="AF228" i="23"/>
  <c r="AF52" i="23"/>
  <c r="AF283" i="23"/>
  <c r="AF235" i="23"/>
  <c r="AF237" i="23"/>
  <c r="AF160" i="23"/>
  <c r="AF104" i="23"/>
  <c r="AF219" i="23"/>
  <c r="AF141" i="23"/>
  <c r="AF120" i="23"/>
  <c r="AF215" i="23"/>
  <c r="AF150" i="23"/>
  <c r="AF111" i="23"/>
  <c r="AF255" i="23"/>
  <c r="AF207" i="23"/>
  <c r="AF263" i="23"/>
  <c r="AF92" i="23"/>
  <c r="AF16" i="23"/>
  <c r="AF161" i="23"/>
  <c r="AF257" i="23"/>
  <c r="AF187" i="23"/>
  <c r="AF81" i="23"/>
  <c r="AF254" i="23"/>
  <c r="AF218" i="23"/>
  <c r="AF247" i="23"/>
  <c r="AF72" i="23"/>
  <c r="AF110" i="23"/>
  <c r="AF65" i="23"/>
  <c r="AF211" i="23"/>
  <c r="AF45" i="23"/>
  <c r="AF233" i="23"/>
  <c r="AF229" i="23"/>
  <c r="AF76" i="23"/>
  <c r="AF53" i="23"/>
  <c r="AF54" i="23"/>
  <c r="AF58" i="23"/>
  <c r="AF195" i="23"/>
  <c r="AF46" i="23"/>
  <c r="AF117" i="23"/>
  <c r="AF179" i="23"/>
  <c r="AF103" i="23"/>
  <c r="AF32" i="23"/>
  <c r="AF30" i="23"/>
  <c r="AF134" i="23"/>
  <c r="AF287" i="23"/>
  <c r="AF186" i="23"/>
  <c r="AF279" i="23"/>
  <c r="AF121" i="23"/>
  <c r="AF33" i="23"/>
  <c r="AF34" i="23"/>
  <c r="AF251" i="23"/>
  <c r="AF36" i="23"/>
  <c r="AF267" i="23"/>
  <c r="AF205" i="23"/>
  <c r="AF87" i="23"/>
  <c r="AF18" i="23"/>
  <c r="AF112" i="23"/>
  <c r="AF75" i="23"/>
  <c r="AF108" i="23"/>
  <c r="AF7" i="23"/>
  <c r="AF285" i="23"/>
  <c r="AF35" i="23"/>
  <c r="AF270" i="23"/>
  <c r="AF154" i="23"/>
  <c r="AF139" i="23"/>
  <c r="AF252" i="23"/>
  <c r="AF204" i="23"/>
  <c r="AF136" i="23"/>
  <c r="AF78" i="23"/>
  <c r="AF163" i="23"/>
  <c r="AF27" i="23"/>
  <c r="AF290" i="23"/>
  <c r="AF185" i="23"/>
  <c r="AF253" i="23"/>
  <c r="AF261" i="23"/>
  <c r="AF151" i="23"/>
  <c r="AF129" i="23"/>
  <c r="AF158" i="23"/>
  <c r="AF156" i="23"/>
  <c r="AF13" i="23"/>
  <c r="AF242" i="23"/>
  <c r="AF115" i="23"/>
  <c r="AF31" i="23"/>
  <c r="AF275" i="23"/>
  <c r="AF106" i="23"/>
  <c r="AF202" i="23"/>
  <c r="AF292" i="23"/>
  <c r="AF181" i="23"/>
  <c r="AF268" i="23"/>
  <c r="AF262" i="23"/>
  <c r="AF232" i="23"/>
  <c r="AF89" i="23"/>
  <c r="AF80" i="23"/>
  <c r="AF132" i="23"/>
  <c r="AF152" i="23"/>
  <c r="AF55" i="23"/>
  <c r="AF99" i="23"/>
  <c r="AF248" i="23"/>
  <c r="AF305" i="23"/>
  <c r="AF309" i="23"/>
  <c r="AF297" i="23"/>
  <c r="AF293" i="23"/>
  <c r="AF306" i="23"/>
  <c r="AF294" i="23"/>
  <c r="AF295" i="23"/>
  <c r="AF296" i="23"/>
  <c r="AF301" i="23"/>
  <c r="AF310" i="23"/>
  <c r="AF307" i="23"/>
  <c r="AF299" i="23"/>
  <c r="AF308" i="23"/>
  <c r="AF311" i="23"/>
  <c r="AF298" i="23"/>
  <c r="AF302" i="23"/>
  <c r="AF304" i="23"/>
  <c r="AF303" i="23"/>
  <c r="AF300" i="23"/>
  <c r="AF312" i="23"/>
  <c r="AC1944" i="24"/>
  <c r="AC2592" i="24"/>
  <c r="AE4" i="23" l="1"/>
  <c r="AE2" i="23"/>
  <c r="AC1945" i="24"/>
  <c r="AC2624" i="24"/>
  <c r="AC1946" i="24" l="1"/>
  <c r="AC2625" i="24"/>
  <c r="AC1947" i="24" l="1"/>
  <c r="AC2651" i="24"/>
  <c r="AC2652" i="24" s="1"/>
  <c r="AC2653" i="24" s="1"/>
  <c r="AC2654" i="24" s="1"/>
  <c r="AC2655" i="24" s="1"/>
  <c r="AC2656" i="24" s="1"/>
  <c r="AC2657" i="24" s="1"/>
  <c r="AC1948" i="24" l="1"/>
  <c r="AC1949" i="24" l="1"/>
  <c r="AC1543" i="10"/>
  <c r="AC2467" i="10"/>
  <c r="AC556" i="10"/>
  <c r="AC746" i="10"/>
  <c r="AC2736" i="10"/>
  <c r="AC297" i="10"/>
  <c r="AC94" i="10"/>
  <c r="AC2742" i="10"/>
  <c r="AC2496" i="10"/>
  <c r="AC2235" i="10"/>
  <c r="AC874" i="10"/>
  <c r="AC2175" i="10"/>
  <c r="AC1526" i="10"/>
  <c r="AC1092" i="10"/>
  <c r="AC1259" i="10"/>
  <c r="AC351" i="10"/>
  <c r="AC255" i="10"/>
  <c r="AC1215" i="10"/>
  <c r="AC2253" i="10"/>
  <c r="AC104" i="10"/>
  <c r="AC831" i="10"/>
  <c r="AC244" i="10"/>
  <c r="AC2483" i="10"/>
  <c r="AC139" i="10"/>
  <c r="AC693" i="10"/>
  <c r="AC1982" i="10"/>
  <c r="AC955" i="10"/>
  <c r="AC2180" i="10"/>
  <c r="AC1122" i="10"/>
  <c r="AC1859" i="10"/>
  <c r="AC1747" i="10"/>
  <c r="AC187" i="10"/>
  <c r="AC1048" i="10"/>
  <c r="AC2167" i="10"/>
  <c r="AC1474" i="10"/>
  <c r="AC81" i="10"/>
  <c r="AC1851" i="10"/>
  <c r="AC218" i="10"/>
  <c r="AC578" i="10"/>
  <c r="AC2076" i="10"/>
  <c r="AC1079" i="10"/>
  <c r="AC1559" i="10"/>
  <c r="AC1858" i="10"/>
  <c r="AC2288" i="10"/>
  <c r="AC2176" i="10"/>
  <c r="AC751" i="10"/>
  <c r="AC2151" i="10"/>
  <c r="AC1393" i="10"/>
  <c r="AC109" i="10"/>
  <c r="AC2544" i="10"/>
  <c r="AC2709" i="10"/>
  <c r="AC1740" i="10"/>
  <c r="AC1289" i="10"/>
  <c r="AC908" i="10"/>
  <c r="AC2226" i="10"/>
  <c r="AC136" i="10"/>
  <c r="AC1212" i="10"/>
  <c r="AC2347" i="10"/>
  <c r="AC1227" i="10"/>
  <c r="AC1946" i="10"/>
  <c r="AC473" i="10"/>
  <c r="AC1322" i="10"/>
  <c r="AC1177" i="10"/>
  <c r="AC1558" i="10"/>
  <c r="AC2507" i="10"/>
  <c r="AC2645" i="10"/>
  <c r="AC2047" i="10"/>
  <c r="AC191" i="10"/>
  <c r="AC1661" i="10"/>
  <c r="AC664" i="10"/>
  <c r="AC574" i="10"/>
  <c r="AC1150" i="10"/>
  <c r="AC76" i="10"/>
  <c r="AC1540" i="10"/>
  <c r="AC1299" i="10"/>
  <c r="AC2269" i="10"/>
  <c r="AC920" i="10"/>
  <c r="AC180" i="10"/>
  <c r="AC923" i="10"/>
  <c r="AC2241" i="10"/>
  <c r="AC1853" i="10"/>
  <c r="AC2368" i="10"/>
  <c r="AC1520" i="10"/>
  <c r="AC712" i="10"/>
  <c r="AC1835" i="10"/>
  <c r="AC616" i="10"/>
  <c r="AC1118" i="10"/>
  <c r="AC1789" i="10"/>
  <c r="AC216" i="10"/>
  <c r="AC2345" i="10"/>
  <c r="AC1037" i="10"/>
  <c r="AC2342" i="10"/>
  <c r="AC1590" i="10"/>
  <c r="AC312" i="10"/>
  <c r="AC1069" i="10"/>
  <c r="AC628" i="10"/>
  <c r="AC1199" i="10"/>
  <c r="AC2542" i="10"/>
  <c r="AC1984" i="10"/>
  <c r="AC2293" i="10"/>
  <c r="AC1434" i="10"/>
  <c r="AC472" i="10"/>
  <c r="AC1391" i="10"/>
  <c r="AC2543" i="10"/>
  <c r="AC819" i="10"/>
  <c r="AC2484" i="10"/>
  <c r="AC551" i="10"/>
  <c r="AC1196" i="10"/>
  <c r="AC1326" i="10"/>
  <c r="AC2605" i="10"/>
  <c r="AC753" i="10"/>
  <c r="AC1147" i="10"/>
  <c r="AC759" i="10"/>
  <c r="AC1070" i="10"/>
  <c r="AC1863" i="10"/>
  <c r="AC1034" i="10"/>
  <c r="AC837" i="10"/>
  <c r="AC2251" i="10"/>
  <c r="AC1021" i="10"/>
  <c r="AC1128" i="10"/>
  <c r="AC468" i="10"/>
  <c r="AC982" i="10"/>
  <c r="AC1987" i="10"/>
  <c r="AC341" i="10"/>
  <c r="AC737" i="10"/>
  <c r="AC2077" i="10"/>
  <c r="AC698" i="10"/>
  <c r="AC743" i="10"/>
  <c r="AC1126" i="10"/>
  <c r="AC2276" i="10"/>
  <c r="AC791" i="10"/>
  <c r="AC1598" i="10"/>
  <c r="AC1547" i="10"/>
  <c r="AC838" i="10"/>
  <c r="AC1366" i="10"/>
  <c r="AC329" i="10"/>
  <c r="AC639" i="10"/>
  <c r="AC1824" i="10"/>
  <c r="AC2312" i="10"/>
  <c r="AC2590" i="10"/>
  <c r="AC2485" i="10"/>
  <c r="AC898" i="10"/>
  <c r="AC454" i="10"/>
  <c r="AC105" i="10"/>
  <c r="AC2721" i="10"/>
  <c r="AC1833" i="10"/>
  <c r="AC1354" i="10"/>
  <c r="AC1697" i="10"/>
  <c r="AC360" i="10"/>
  <c r="AC1735" i="10"/>
  <c r="AC621" i="10"/>
  <c r="AC153" i="10"/>
  <c r="AC513" i="10"/>
  <c r="AC1418" i="10"/>
  <c r="AC1292" i="10"/>
  <c r="AC2377" i="10"/>
  <c r="AC192" i="10"/>
  <c r="AC2651" i="10"/>
  <c r="AC1316" i="10"/>
  <c r="AC724" i="10"/>
  <c r="AC780" i="10"/>
  <c r="AC1075" i="10"/>
  <c r="AC1605" i="10"/>
  <c r="AC2093" i="10"/>
  <c r="AC114" i="10"/>
  <c r="AC1585" i="10"/>
  <c r="AC1295" i="10"/>
  <c r="AC310" i="10"/>
  <c r="AC1450" i="10"/>
  <c r="AC2240" i="10"/>
  <c r="AC1127" i="10"/>
  <c r="AC881" i="10"/>
  <c r="AC1908" i="10"/>
  <c r="AC2211" i="10"/>
  <c r="AC301" i="10"/>
  <c r="AC428" i="10"/>
  <c r="AC859" i="10"/>
  <c r="AC1947" i="10"/>
  <c r="AC1483" i="10"/>
  <c r="AC1604" i="10"/>
  <c r="AC1432" i="10"/>
  <c r="AC1855" i="10"/>
  <c r="AC989" i="10"/>
  <c r="AC1806" i="10"/>
  <c r="AC1430" i="10"/>
  <c r="AC1311" i="10"/>
  <c r="AC2271" i="10"/>
  <c r="AC1181" i="10"/>
  <c r="AC985" i="10"/>
  <c r="AC539" i="10"/>
  <c r="AC790" i="10"/>
  <c r="AC1508" i="10"/>
  <c r="AC1182" i="10"/>
  <c r="AC1646" i="10"/>
  <c r="AC934" i="10"/>
  <c r="AC1623" i="10"/>
  <c r="AC290" i="10"/>
  <c r="AC2079" i="10"/>
  <c r="AC194" i="10"/>
  <c r="AC1080" i="10"/>
  <c r="AC466" i="10"/>
  <c r="AC90" i="10"/>
  <c r="AC1439" i="10"/>
  <c r="AC189" i="10"/>
  <c r="AC695" i="10"/>
  <c r="AC1089" i="10"/>
  <c r="AC2586" i="10"/>
  <c r="AC2313" i="10"/>
  <c r="AC1260" i="10"/>
  <c r="AC1359" i="10"/>
  <c r="AC520" i="10"/>
  <c r="AC2265" i="10"/>
  <c r="AC1990" i="10"/>
  <c r="AC1030" i="10"/>
  <c r="AC2471" i="10"/>
  <c r="AC1400" i="10"/>
  <c r="AC1202" i="10"/>
  <c r="AC1248" i="10"/>
  <c r="AC2436" i="10"/>
  <c r="AC1793" i="10"/>
  <c r="AC1705" i="10"/>
  <c r="AC1560" i="10"/>
  <c r="AC2788" i="10"/>
  <c r="AC1201" i="10"/>
  <c r="AC335" i="10"/>
  <c r="AC319" i="10"/>
  <c r="AC1670" i="10"/>
  <c r="AC1204" i="10"/>
  <c r="AC868" i="10"/>
  <c r="AC1545" i="10"/>
  <c r="AC1842" i="10"/>
  <c r="AC1320" i="10"/>
  <c r="AC2659" i="10"/>
  <c r="AC2606" i="10"/>
  <c r="AC752" i="10"/>
  <c r="AC2351" i="10"/>
  <c r="AC262" i="10"/>
  <c r="AC1625" i="10"/>
  <c r="AC1527" i="10"/>
  <c r="AC624" i="10"/>
  <c r="AC937" i="10"/>
  <c r="AC1886" i="10"/>
  <c r="AC1203" i="10"/>
  <c r="AC2080" i="10"/>
  <c r="AC994" i="10"/>
  <c r="AC377" i="10"/>
  <c r="AC1435" i="10"/>
  <c r="AC1834" i="10"/>
  <c r="AC1556" i="10"/>
  <c r="AC2069" i="10"/>
  <c r="AC1497" i="10"/>
  <c r="AC1480" i="10"/>
  <c r="AC1758" i="10"/>
  <c r="AC747" i="10"/>
  <c r="AC1219" i="10"/>
  <c r="AC1335" i="10"/>
  <c r="AC750" i="10"/>
  <c r="AC1325" i="10"/>
  <c r="AC954" i="10"/>
  <c r="AC1573" i="10"/>
  <c r="AC1479" i="10"/>
  <c r="AC242" i="10"/>
  <c r="AC872" i="10"/>
  <c r="AC1066" i="10"/>
  <c r="AC2344" i="10"/>
  <c r="AC2678" i="10"/>
  <c r="AC306" i="10"/>
  <c r="AC1033" i="10"/>
  <c r="AC477" i="10"/>
  <c r="AC1662" i="10"/>
  <c r="AC338" i="10"/>
  <c r="AC956" i="10"/>
  <c r="AC1645" i="10"/>
  <c r="AC320" i="10"/>
  <c r="AC1050" i="10"/>
  <c r="AC733" i="10"/>
  <c r="AC879" i="10"/>
  <c r="AC736" i="10"/>
  <c r="AC178" i="10"/>
  <c r="AC2679" i="10"/>
  <c r="AC2674" i="10"/>
  <c r="AC2657" i="10"/>
  <c r="AC1464" i="10"/>
  <c r="AC353" i="10"/>
  <c r="AC719" i="10"/>
  <c r="AC177" i="10"/>
  <c r="AC1800" i="10"/>
  <c r="AC1549" i="10"/>
  <c r="AC521" i="10"/>
  <c r="AC444" i="10"/>
  <c r="AC1953" i="10"/>
  <c r="AC1446" i="10"/>
  <c r="AC637" i="10"/>
  <c r="AC1524" i="10"/>
  <c r="AC436" i="10"/>
  <c r="AC1952" i="10"/>
  <c r="AC2745" i="10"/>
  <c r="AC1109" i="10"/>
  <c r="AC2066" i="10"/>
  <c r="AC2239" i="10"/>
  <c r="AC1852" i="10"/>
  <c r="AC981" i="10"/>
  <c r="AC1548" i="10"/>
  <c r="AC742" i="10"/>
  <c r="AC1120" i="10"/>
  <c r="AC223" i="10"/>
  <c r="AC68" i="10"/>
  <c r="AC1951" i="10"/>
  <c r="AC259" i="10"/>
  <c r="AC2746" i="10"/>
  <c r="AC967" i="10"/>
  <c r="AC1810" i="10"/>
  <c r="AC2615" i="10"/>
  <c r="AC2177" i="10"/>
  <c r="AC2648" i="10"/>
  <c r="AC72" i="10"/>
  <c r="AC687" i="10"/>
  <c r="AC2442" i="10"/>
  <c r="AC425" i="10"/>
  <c r="AC2546" i="10"/>
  <c r="AC1850" i="10"/>
  <c r="AC2669" i="10"/>
  <c r="AC842" i="10"/>
  <c r="AC1216" i="10"/>
  <c r="AC1821" i="10"/>
  <c r="AC917" i="10"/>
  <c r="AC2314" i="10"/>
  <c r="AC2517" i="10"/>
  <c r="AC614" i="10"/>
  <c r="AC2644" i="10"/>
  <c r="AC1360" i="10"/>
  <c r="AC748" i="10"/>
  <c r="AC370" i="10"/>
  <c r="AC2529" i="10"/>
  <c r="AC1175" i="10"/>
  <c r="AC925" i="10"/>
  <c r="AC89" i="10"/>
  <c r="AC2719" i="10"/>
  <c r="AC1443" i="10"/>
  <c r="AC2523" i="10"/>
  <c r="AC2620" i="10"/>
  <c r="AC268" i="10"/>
  <c r="AC1873" i="10"/>
  <c r="AC2486" i="10"/>
  <c r="AC2350" i="10"/>
  <c r="AC1399" i="10"/>
  <c r="AC1207" i="10"/>
  <c r="AC1160" i="10"/>
  <c r="AC2088" i="10"/>
  <c r="AC1145" i="10"/>
  <c r="AC771" i="10"/>
  <c r="AC1913" i="10"/>
  <c r="AC1419" i="10"/>
  <c r="AC52" i="10"/>
  <c r="AC150" i="10"/>
  <c r="AC1159" i="10"/>
  <c r="AC1485" i="10"/>
  <c r="AC2624" i="10"/>
  <c r="AC2070" i="10"/>
  <c r="AC1107" i="10"/>
  <c r="AC1510" i="10"/>
  <c r="AC722" i="10"/>
  <c r="AC1597" i="10"/>
  <c r="AC2733" i="10"/>
  <c r="AC1218" i="10"/>
  <c r="AC873" i="10"/>
  <c r="AC834" i="10"/>
  <c r="AC1144" i="10"/>
  <c r="AC2346" i="10"/>
  <c r="AC1090" i="10"/>
  <c r="AC179" i="10"/>
  <c r="AC2515" i="10"/>
  <c r="AC2039" i="10"/>
  <c r="AC918" i="10"/>
  <c r="AC1958" i="10"/>
  <c r="AC2739" i="10"/>
  <c r="AC220" i="10"/>
  <c r="AC2330" i="10"/>
  <c r="AC1746" i="10"/>
  <c r="AC224" i="10"/>
  <c r="AC1974" i="10"/>
  <c r="AC976" i="10"/>
  <c r="AC734" i="10"/>
  <c r="AC1790" i="10"/>
  <c r="AC213" i="10"/>
  <c r="AC1071" i="10"/>
  <c r="AC1586" i="10"/>
  <c r="AC2233" i="10"/>
  <c r="AC2074" i="10"/>
  <c r="AC1498" i="10"/>
  <c r="AC2017" i="10"/>
  <c r="AC2531" i="10"/>
  <c r="AC1179" i="10"/>
  <c r="AC1830" i="10"/>
  <c r="AC2068" i="10"/>
  <c r="AC1358" i="10"/>
  <c r="AC2183" i="10"/>
  <c r="AC765" i="10"/>
  <c r="AC2670" i="10"/>
  <c r="AC896" i="10"/>
  <c r="AC2238" i="10"/>
  <c r="AC732" i="10"/>
  <c r="AC552" i="10"/>
  <c r="AC1627" i="10"/>
  <c r="AC1353" i="10"/>
  <c r="AC2557" i="10"/>
  <c r="AC1281" i="10"/>
  <c r="AC2598" i="10"/>
  <c r="AC1848" i="10"/>
  <c r="AC333" i="10"/>
  <c r="AC2677" i="10"/>
  <c r="AC1210" i="10"/>
  <c r="AC1917" i="10"/>
  <c r="AC99" i="10"/>
  <c r="AC723" i="10"/>
  <c r="AC2015" i="10"/>
  <c r="AC2690" i="10"/>
  <c r="AC1665" i="10"/>
  <c r="AC1301" i="10"/>
  <c r="AC210" i="10"/>
  <c r="AC855" i="10"/>
  <c r="AC2085" i="10"/>
  <c r="AC1332" i="10"/>
  <c r="AC1592" i="10"/>
  <c r="AC295" i="10"/>
  <c r="AC2468" i="10"/>
  <c r="AC1206" i="10"/>
  <c r="AC1959" i="10"/>
  <c r="AC2725" i="10"/>
  <c r="AC843" i="10"/>
  <c r="AC340" i="10"/>
  <c r="AC2040" i="10"/>
  <c r="AC1074" i="10"/>
  <c r="AC2310" i="10"/>
  <c r="AC2748" i="10"/>
  <c r="AC1099" i="10"/>
  <c r="AC1581" i="10"/>
  <c r="AC1478" i="10"/>
  <c r="AC638" i="10"/>
  <c r="AC1018" i="10"/>
  <c r="AC71" i="10"/>
  <c r="AC2695" i="10"/>
  <c r="AC1514" i="10"/>
  <c r="AC111" i="10"/>
  <c r="AC1736" i="10"/>
  <c r="AC1785" i="10"/>
  <c r="AC1499" i="10"/>
  <c r="AC632" i="10"/>
  <c r="AC2146" i="10"/>
  <c r="AC219" i="10"/>
  <c r="AC825" i="10"/>
  <c r="AC700" i="10"/>
  <c r="AC2408" i="10"/>
  <c r="AC2173" i="10"/>
  <c r="AC943" i="10"/>
  <c r="AC1511" i="10"/>
  <c r="AC1819" i="10"/>
  <c r="AC289" i="10"/>
  <c r="AC1996" i="10"/>
  <c r="AC1988" i="10"/>
  <c r="AC1255" i="10"/>
  <c r="AC1224" i="10"/>
  <c r="AC363" i="10"/>
  <c r="AC2660" i="10"/>
  <c r="AC2558" i="10"/>
  <c r="AC2425" i="10"/>
  <c r="AC1294" i="10"/>
  <c r="AC2663" i="10"/>
  <c r="AC731" i="10"/>
  <c r="AC1949" i="10"/>
  <c r="AC2393" i="10"/>
  <c r="AC1866" i="10"/>
  <c r="AC2031" i="10"/>
  <c r="AC209" i="10"/>
  <c r="AC2022" i="10"/>
  <c r="AC1641" i="10"/>
  <c r="AC2602" i="10"/>
  <c r="AC1513" i="10"/>
  <c r="AC2731" i="10"/>
  <c r="AC1108" i="10"/>
  <c r="AC78" i="10"/>
  <c r="AC2459" i="10"/>
  <c r="AC1088" i="10"/>
  <c r="AC2429" i="10"/>
  <c r="AC537" i="10"/>
  <c r="AC348" i="10"/>
  <c r="AC431" i="10"/>
  <c r="AC977" i="10"/>
  <c r="AC1519" i="10"/>
  <c r="AC534" i="10"/>
  <c r="AC909" i="10"/>
  <c r="AC1214" i="10"/>
  <c r="AC1572" i="10"/>
  <c r="AC882" i="10"/>
  <c r="AC1784" i="10"/>
  <c r="AC198" i="10"/>
  <c r="AC1341" i="10"/>
  <c r="AC2710" i="10"/>
  <c r="AC2242" i="10"/>
  <c r="AC1293" i="10"/>
  <c r="AC1226" i="10"/>
  <c r="AC2711" i="10"/>
  <c r="AC1640" i="10"/>
  <c r="AC158" i="10"/>
  <c r="AC1564" i="10"/>
  <c r="AC1610" i="10"/>
  <c r="AC1007" i="10"/>
  <c r="AC2549" i="10"/>
  <c r="AC1724" i="10"/>
  <c r="AC1865" i="10"/>
  <c r="AC1375" i="10"/>
  <c r="AC1650" i="10"/>
  <c r="AC2474" i="10"/>
  <c r="AC2145" i="10"/>
  <c r="AC2698" i="10"/>
  <c r="AC2465" i="10"/>
  <c r="AC2035" i="10"/>
  <c r="AC1998" i="10"/>
  <c r="AC1700" i="10"/>
  <c r="AC2159" i="10"/>
  <c r="AC2042" i="10"/>
  <c r="AC2740" i="10"/>
  <c r="AC2207" i="10"/>
  <c r="AC2281" i="10"/>
  <c r="AC1919" i="10"/>
  <c r="AC1020" i="10"/>
  <c r="AC1690" i="10"/>
  <c r="AC1329" i="10"/>
  <c r="AC2052" i="10"/>
  <c r="AC1288" i="10"/>
  <c r="AC1763" i="10"/>
  <c r="AC2172" i="10"/>
  <c r="AC1124" i="10"/>
  <c r="AC1221" i="10"/>
  <c r="AC1986" i="10"/>
  <c r="AC729" i="10"/>
  <c r="AC1629" i="10"/>
  <c r="AC1442" i="10"/>
  <c r="AC878" i="10"/>
  <c r="AC2021" i="10"/>
  <c r="AC2127" i="10"/>
  <c r="AC1184" i="10"/>
  <c r="AC1170" i="10"/>
  <c r="AC452" i="10"/>
  <c r="AC1890" i="10"/>
  <c r="AC160" i="10"/>
  <c r="AC2182" i="10"/>
  <c r="AC2728" i="10"/>
  <c r="AC794" i="10"/>
  <c r="AC1840" i="10"/>
  <c r="AC2450" i="10"/>
  <c r="AC961" i="10"/>
  <c r="AC1077" i="10"/>
  <c r="AC2499" i="10"/>
  <c r="AC1003" i="10"/>
  <c r="AC1574" i="10"/>
  <c r="AC2577" i="10"/>
  <c r="AC1751" i="10"/>
  <c r="AC2491" i="10"/>
  <c r="AC2189" i="10"/>
  <c r="AC2741" i="10"/>
  <c r="AC784" i="10"/>
  <c r="AC2653" i="10"/>
  <c r="AC2604" i="10"/>
  <c r="AC2243" i="10"/>
  <c r="AC1337" i="10"/>
  <c r="AC947" i="10"/>
  <c r="AC2206" i="10"/>
  <c r="AC1813" i="10"/>
  <c r="AC449" i="10"/>
  <c r="AC96" i="10"/>
  <c r="AC2095" i="10"/>
  <c r="AC2339" i="10"/>
  <c r="AC1893" i="10"/>
  <c r="AC1072" i="10"/>
  <c r="AC73" i="10"/>
  <c r="AC832" i="10"/>
  <c r="AC2475" i="10"/>
  <c r="AC2799" i="10"/>
  <c r="AC596" i="10"/>
  <c r="AC1626" i="10"/>
  <c r="AC2489" i="10"/>
  <c r="AC1098" i="10"/>
  <c r="AC2160" i="10"/>
  <c r="AC1887" i="10"/>
  <c r="AC1191" i="10"/>
  <c r="AC966" i="10"/>
  <c r="AC1609" i="10"/>
  <c r="AC2274" i="10"/>
  <c r="AC214" i="10"/>
  <c r="AC2547" i="10"/>
  <c r="AC162" i="10"/>
  <c r="AC2229" i="10"/>
  <c r="AC1352" i="10"/>
  <c r="AC2028" i="10"/>
  <c r="AC339" i="10"/>
  <c r="AC2692" i="10"/>
  <c r="AC1999" i="10"/>
  <c r="AC2195" i="10"/>
  <c r="AC1932" i="10"/>
  <c r="AC1024" i="10"/>
  <c r="AC1632" i="10"/>
  <c r="AC1029" i="10"/>
  <c r="AC2680" i="10"/>
  <c r="AC1509" i="10"/>
  <c r="AC2424" i="10"/>
  <c r="AC318" i="10"/>
  <c r="AC2684" i="10"/>
  <c r="AC1370" i="10"/>
  <c r="AC2285" i="10"/>
  <c r="AC1730" i="10"/>
  <c r="AC2354" i="10"/>
  <c r="AC1463" i="10"/>
  <c r="AC2367" i="10"/>
  <c r="AC278" i="10"/>
  <c r="AC1985" i="10"/>
  <c r="AC2120" i="10"/>
  <c r="AC1649" i="10"/>
  <c r="AC568" i="10"/>
  <c r="AC2261" i="10"/>
  <c r="AC2613" i="10"/>
  <c r="AC2528" i="10"/>
  <c r="AC1655" i="10"/>
  <c r="AC1551" i="10"/>
  <c r="AC1436" i="10"/>
  <c r="AC442" i="10"/>
  <c r="AC2632" i="10"/>
  <c r="AC2717" i="10"/>
  <c r="AC2318" i="10"/>
  <c r="AC1086" i="10"/>
  <c r="AC1251" i="10"/>
  <c r="AC812" i="10"/>
  <c r="AC745" i="10"/>
  <c r="AC1815" i="10"/>
  <c r="AC557" i="10"/>
  <c r="AC2732" i="10"/>
  <c r="AC309" i="10"/>
  <c r="AC718" i="10"/>
  <c r="AC889" i="10"/>
  <c r="AC1304" i="10"/>
  <c r="AC2518" i="10"/>
  <c r="AC2112" i="10"/>
  <c r="AC1653" i="10"/>
  <c r="AC1308" i="10"/>
  <c r="AC740" i="10"/>
  <c r="AC267" i="10"/>
  <c r="AC1759" i="10"/>
  <c r="AC1429" i="10"/>
  <c r="AC2043" i="10"/>
  <c r="AC2785" i="10"/>
  <c r="AC1726" i="10"/>
  <c r="AC2004" i="10"/>
  <c r="AC2014" i="10"/>
  <c r="AC2178" i="10"/>
  <c r="AC1132" i="10"/>
  <c r="AC2174" i="10"/>
  <c r="AC2449" i="10"/>
  <c r="AC475" i="10"/>
  <c r="AC2188" i="10"/>
  <c r="AC1948" i="10"/>
  <c r="AC797" i="10"/>
  <c r="AC713" i="10"/>
  <c r="AC1084" i="10"/>
  <c r="AC1351" i="10"/>
  <c r="AC2139" i="10"/>
  <c r="AC1664" i="10"/>
  <c r="AC181" i="10"/>
  <c r="AC1421" i="10"/>
  <c r="AC2260" i="10"/>
  <c r="AC2411" i="10"/>
  <c r="AC2447" i="10"/>
  <c r="AC559" i="10"/>
  <c r="AC2045" i="10"/>
  <c r="AC2552" i="10"/>
  <c r="AC1582" i="10"/>
  <c r="AC2734" i="10"/>
  <c r="AC869" i="10"/>
  <c r="AC2704" i="10"/>
  <c r="AC975" i="10"/>
  <c r="AC1243" i="10"/>
  <c r="AC2294" i="10"/>
  <c r="AC593" i="10"/>
  <c r="AC2287" i="10"/>
  <c r="AC1771" i="10"/>
  <c r="AC1187" i="10"/>
  <c r="AC2157" i="10"/>
  <c r="AC876" i="10"/>
  <c r="AC543" i="10"/>
  <c r="AC806" i="10"/>
  <c r="AC269" i="10"/>
  <c r="AC573" i="10"/>
  <c r="AC1193" i="10"/>
  <c r="AC782" i="10"/>
  <c r="AC669" i="10"/>
  <c r="AC2675" i="10"/>
  <c r="AC1787" i="10"/>
  <c r="AC2011" i="10"/>
  <c r="AC805" i="10"/>
  <c r="AC565" i="10"/>
  <c r="AC173" i="10"/>
  <c r="AC946" i="10"/>
  <c r="AC1254" i="10"/>
  <c r="AC1233" i="10"/>
  <c r="AC1769" i="10"/>
  <c r="AC1924" i="10"/>
  <c r="AC930" i="10"/>
  <c r="AC2650" i="10"/>
  <c r="AC933" i="10"/>
  <c r="AC2419" i="10"/>
  <c r="AC1195" i="10"/>
  <c r="AC991" i="10"/>
  <c r="AC2622" i="10"/>
  <c r="AC973" i="10"/>
  <c r="AC169" i="10"/>
  <c r="AC1966" i="10"/>
  <c r="AC2691" i="10"/>
  <c r="AC546" i="10"/>
  <c r="AC2724" i="10"/>
  <c r="AC647" i="10"/>
  <c r="AC1501" i="10"/>
  <c r="AC721" i="10"/>
  <c r="AC217" i="10"/>
  <c r="AC1502" i="10"/>
  <c r="AC2782" i="10"/>
  <c r="AC1601" i="10"/>
  <c r="AC2512" i="10"/>
  <c r="AC959" i="10"/>
  <c r="AC2252" i="10"/>
  <c r="AC167" i="10"/>
  <c r="AC686" i="10"/>
  <c r="AC1928" i="10"/>
  <c r="AC788" i="10"/>
  <c r="AC2583" i="10"/>
  <c r="AC655" i="10"/>
  <c r="AC1286" i="10"/>
  <c r="AC615" i="10"/>
  <c r="AC810" i="10"/>
  <c r="AC902" i="10"/>
  <c r="AC1350" i="10"/>
  <c r="AC1011" i="10"/>
  <c r="AC148" i="10"/>
  <c r="AC913" i="10"/>
  <c r="AC441" i="10"/>
  <c r="AC604" i="10"/>
  <c r="AC2309" i="10"/>
  <c r="AC893" i="10"/>
  <c r="AC958" i="10"/>
  <c r="AC1807" i="10"/>
  <c r="AC2392" i="10"/>
  <c r="AC730" i="10"/>
  <c r="AC1462" i="10"/>
  <c r="AC2370" i="10"/>
  <c r="AC1296" i="10"/>
  <c r="AC2634" i="10"/>
  <c r="AC2249" i="10"/>
  <c r="AC2539" i="10"/>
  <c r="AC1252" i="10"/>
  <c r="AC1615" i="10"/>
  <c r="AC602" i="10"/>
  <c r="AC1847" i="10"/>
  <c r="AC2228" i="10"/>
  <c r="AC626" i="10"/>
  <c r="AC97" i="10"/>
  <c r="AC439" i="10"/>
  <c r="AC2514" i="10"/>
  <c r="AC129" i="10"/>
  <c r="AC2781" i="10"/>
  <c r="AC1116" i="10"/>
  <c r="AC1812" i="10"/>
  <c r="AC1396" i="10"/>
  <c r="AC2390" i="10"/>
  <c r="AC359" i="10"/>
  <c r="AC1113" i="10"/>
  <c r="AC2090" i="10"/>
  <c r="AC1584" i="10"/>
  <c r="AC679" i="10"/>
  <c r="AC1804" i="10"/>
  <c r="AC1052" i="10"/>
  <c r="AC1495" i="10"/>
  <c r="AC642" i="10"/>
  <c r="AC1321" i="10"/>
  <c r="AC1028" i="10"/>
  <c r="AC2306" i="10"/>
  <c r="AC2078" i="10"/>
  <c r="AC984" i="10"/>
  <c r="AC714" i="10"/>
  <c r="AC2196" i="10"/>
  <c r="AC2473" i="10"/>
  <c r="AC905" i="10"/>
  <c r="AC858" i="10"/>
  <c r="AC1164" i="10"/>
  <c r="AC254" i="10"/>
  <c r="AC1691" i="10"/>
  <c r="AC768" i="10"/>
  <c r="AC2303" i="10"/>
  <c r="AC707" i="10"/>
  <c r="AC757" i="10"/>
  <c r="AC1157" i="10"/>
  <c r="AC1180" i="10"/>
  <c r="AC1484" i="10"/>
  <c r="AC2700" i="10"/>
  <c r="AC1955" i="10"/>
  <c r="AC1666" i="10"/>
  <c r="AC2054" i="10"/>
  <c r="AC303" i="10"/>
  <c r="AC2635" i="10"/>
  <c r="AC1081" i="10"/>
  <c r="AC675" i="10"/>
  <c r="AC445" i="10"/>
  <c r="AC2535" i="10"/>
  <c r="AC507" i="10"/>
  <c r="AC1121" i="10"/>
  <c r="AC914" i="10"/>
  <c r="AC1862" i="10"/>
  <c r="AC2532" i="10"/>
  <c r="AC2010" i="10"/>
  <c r="AC511" i="10"/>
  <c r="AC764" i="10"/>
  <c r="AC1796" i="10"/>
  <c r="AC519" i="10"/>
  <c r="AC1424" i="10"/>
  <c r="AC915" i="10"/>
  <c r="AC2722" i="10"/>
  <c r="AC438" i="10"/>
  <c r="AC503" i="10"/>
  <c r="AC1798" i="10"/>
  <c r="AC767" i="10"/>
  <c r="AC185" i="10"/>
  <c r="AC1868" i="10"/>
  <c r="AC2304" i="10"/>
  <c r="AC2723" i="10"/>
  <c r="AC1200" i="10"/>
  <c r="AC1900" i="10"/>
  <c r="AC1313" i="10"/>
  <c r="AC1249" i="10"/>
  <c r="AC343" i="10"/>
  <c r="AC781" i="10"/>
  <c r="AC727" i="10"/>
  <c r="AC2126" i="10"/>
  <c r="AC2325" i="10"/>
  <c r="AC2190" i="10"/>
  <c r="AC588" i="10"/>
  <c r="AC1779" i="10"/>
  <c r="AC1356" i="10"/>
  <c r="AC2034" i="10"/>
  <c r="AC246" i="10"/>
  <c r="AC885" i="10"/>
  <c r="AC245" i="10"/>
  <c r="AC1198" i="10"/>
  <c r="AC640" i="10"/>
  <c r="AC2038" i="10"/>
  <c r="AC606" i="10"/>
  <c r="AC1839" i="10"/>
  <c r="AC2389" i="10"/>
  <c r="AC1693" i="10"/>
  <c r="AC430" i="10"/>
  <c r="AC1770" i="10"/>
  <c r="AC1904" i="10"/>
  <c r="AC2565" i="10"/>
  <c r="AC1686" i="10"/>
  <c r="AC362" i="10"/>
  <c r="AC1857" i="10"/>
  <c r="AC1376" i="10"/>
  <c r="AC2137" i="10"/>
  <c r="AC2401" i="10"/>
  <c r="AC427" i="10"/>
  <c r="AC1097" i="10"/>
  <c r="AC98" i="10"/>
  <c r="AC1133" i="10"/>
  <c r="AC2084" i="10"/>
  <c r="AC618" i="10"/>
  <c r="AC1176" i="10"/>
  <c r="AC1557" i="10"/>
  <c r="AC776" i="10"/>
  <c r="AC2453" i="10"/>
  <c r="AC2623" i="10"/>
  <c r="AC1882" i="10"/>
  <c r="AC156" i="10"/>
  <c r="AC2415" i="10"/>
  <c r="AC2369" i="10"/>
  <c r="AC2656" i="10"/>
  <c r="AC1342" i="10"/>
  <c r="AC510" i="10"/>
  <c r="AC1997" i="10"/>
  <c r="AC1045" i="10"/>
  <c r="AC337" i="10"/>
  <c r="AC345" i="10"/>
  <c r="AC2064" i="10"/>
  <c r="AC2075" i="10"/>
  <c r="AC1327" i="10"/>
  <c r="AC2563" i="10"/>
  <c r="AC2290" i="10"/>
  <c r="AC1306" i="10"/>
  <c r="AC87" i="10"/>
  <c r="AC1270" i="10"/>
  <c r="AC1780" i="10"/>
  <c r="AC2192" i="10"/>
  <c r="AC550" i="10"/>
  <c r="AC2179" i="10"/>
  <c r="AC322" i="10"/>
  <c r="AC132" i="10"/>
  <c r="AC1031" i="10"/>
  <c r="AC1167" i="10"/>
  <c r="AC2407" i="10"/>
  <c r="AC595" i="10"/>
  <c r="AC74" i="10"/>
  <c r="AC453" i="10"/>
  <c r="AC1745" i="10"/>
  <c r="AC1566" i="10"/>
  <c r="AC476" i="10"/>
  <c r="AC325" i="10"/>
  <c r="AC1689" i="10"/>
  <c r="AC368" i="10"/>
  <c r="AC1732" i="10"/>
  <c r="AC2666" i="10"/>
  <c r="AC2403" i="10"/>
  <c r="AC591" i="10"/>
  <c r="AC2633" i="10"/>
  <c r="AC2332" i="10"/>
  <c r="AC1861" i="10"/>
  <c r="AC1115" i="10"/>
  <c r="AC1349" i="10"/>
  <c r="AC919" i="10"/>
  <c r="AC1728" i="10"/>
  <c r="AC2627" i="10"/>
  <c r="AC2439" i="10"/>
  <c r="AC1134" i="10"/>
  <c r="AC1231" i="10"/>
  <c r="AC1628" i="10"/>
  <c r="AC1531" i="10"/>
  <c r="AC2033" i="10"/>
  <c r="AC248" i="10"/>
  <c r="AC1580" i="10"/>
  <c r="AC1339" i="10"/>
  <c r="AC594" i="10"/>
  <c r="AC1561" i="10"/>
  <c r="AC884" i="10"/>
  <c r="AC2124" i="10"/>
  <c r="AC965" i="10"/>
  <c r="AC1555" i="10"/>
  <c r="AC807" i="10"/>
  <c r="AC197" i="10"/>
  <c r="AC1823" i="10"/>
  <c r="AC2460" i="10"/>
  <c r="AC1568" i="10"/>
  <c r="AC2125" i="10"/>
  <c r="AC2141" i="10"/>
  <c r="AC1477" i="10"/>
  <c r="AC1017" i="10"/>
  <c r="AC772" i="10"/>
  <c r="AC2340" i="10"/>
  <c r="AC785" i="10"/>
  <c r="AC2689" i="10"/>
  <c r="AC941" i="10"/>
  <c r="AC1417" i="10"/>
  <c r="AC1896" i="10"/>
  <c r="AC986" i="10"/>
  <c r="AC2136" i="10"/>
  <c r="AC598" i="10"/>
  <c r="AC1256" i="10"/>
  <c r="AC773" i="10"/>
  <c r="AC1544" i="10"/>
  <c r="AC990" i="10"/>
  <c r="AC266" i="10"/>
  <c r="AC2655" i="10"/>
  <c r="AC2683" i="10"/>
  <c r="AC1695" i="10"/>
  <c r="AC2187" i="10"/>
  <c r="AC1312" i="10"/>
  <c r="AC978" i="10"/>
  <c r="AC927" i="10"/>
  <c r="AC504" i="10"/>
  <c r="AC2295" i="10"/>
  <c r="AC502" i="10"/>
  <c r="AC2148" i="10"/>
  <c r="AC2498" i="10"/>
  <c r="AC778" i="10"/>
  <c r="AC1671" i="10"/>
  <c r="AC1733" i="10"/>
  <c r="AC886" i="10"/>
  <c r="AC2441" i="10"/>
  <c r="AC1814" i="10"/>
  <c r="AC1888" i="10"/>
  <c r="AC1943" i="10"/>
  <c r="AC1553" i="10"/>
  <c r="AC327" i="10"/>
  <c r="AC694" i="10"/>
  <c r="AC2280" i="10"/>
  <c r="AC85" i="10"/>
  <c r="AC1378" i="10"/>
  <c r="AC2701" i="10"/>
  <c r="AC1137" i="10"/>
  <c r="AC250" i="10"/>
  <c r="AC1901" i="10"/>
  <c r="AC2298" i="10"/>
  <c r="AC113" i="10"/>
  <c r="AC890" i="10"/>
  <c r="AC1314" i="10"/>
  <c r="AC962" i="10"/>
  <c r="AC609" i="10"/>
  <c r="AC1595" i="10"/>
  <c r="AC2618" i="10"/>
  <c r="AC2058" i="10"/>
  <c r="AC940" i="10"/>
  <c r="AC2526" i="10"/>
  <c r="AC856" i="10"/>
  <c r="AC2171" i="10"/>
  <c r="AC1783" i="10"/>
  <c r="AC2662" i="10"/>
  <c r="AC447" i="10"/>
  <c r="AC1775" i="10"/>
  <c r="AC894" i="10"/>
  <c r="AC1621" i="10"/>
  <c r="AC1938" i="10"/>
  <c r="AC530" i="10"/>
  <c r="AC1457" i="10"/>
  <c r="AC862" i="10"/>
  <c r="AC2708" i="10"/>
  <c r="AC2319" i="10"/>
  <c r="AC1989" i="10"/>
  <c r="AC199" i="10"/>
  <c r="AC2488" i="10"/>
  <c r="AC993" i="10"/>
  <c r="AC1708" i="10"/>
  <c r="AC1103" i="10"/>
  <c r="AC2036" i="10"/>
  <c r="AC942" i="10"/>
  <c r="AC1680" i="10"/>
  <c r="AC2416" i="10"/>
  <c r="AC2336" i="10"/>
  <c r="AC334" i="10"/>
  <c r="AC2409" i="10"/>
  <c r="AC741" i="10"/>
  <c r="AC1854" i="10"/>
  <c r="AC1647" i="10"/>
  <c r="AC1884" i="10"/>
  <c r="AC1781" i="10"/>
  <c r="AC2019" i="10"/>
  <c r="AC2472" i="10"/>
  <c r="AC2089" i="10"/>
  <c r="AC1652" i="10"/>
  <c r="AC1253" i="10"/>
  <c r="AC1169" i="10"/>
  <c r="AC1449" i="10"/>
  <c r="AC633" i="10"/>
  <c r="AC2000" i="10"/>
  <c r="AC774" i="10"/>
  <c r="AC1119" i="10"/>
  <c r="AC2608" i="10"/>
  <c r="AC2374" i="10"/>
  <c r="AC2115" i="10"/>
  <c r="AC1620" i="10"/>
  <c r="AC1976" i="10"/>
  <c r="AC2469" i="10"/>
  <c r="AC1247" i="10"/>
  <c r="AC443" i="10"/>
  <c r="AC1046" i="10"/>
  <c r="AC1933" i="10"/>
  <c r="AC252" i="10"/>
  <c r="AC1903" i="10"/>
  <c r="AC2554" i="10"/>
  <c r="AC1154" i="10"/>
  <c r="AC2250" i="10"/>
  <c r="AC1965" i="10"/>
  <c r="AC2258" i="10"/>
  <c r="AC921" i="10"/>
  <c r="AC582" i="10"/>
  <c r="AC1696" i="10"/>
  <c r="AC212" i="10"/>
  <c r="AC617" i="10"/>
  <c r="AC2292" i="10"/>
  <c r="AC2138" i="10"/>
  <c r="AC265" i="10"/>
  <c r="AC1146" i="10"/>
  <c r="AC1942" i="10"/>
  <c r="AC2503" i="10"/>
  <c r="AC2720" i="10"/>
  <c r="AC1039" i="10"/>
  <c r="AC221" i="10"/>
  <c r="AC1411" i="10"/>
  <c r="AC706" i="10"/>
  <c r="AC2257" i="10"/>
  <c r="AC2397" i="10"/>
  <c r="AC678" i="10"/>
  <c r="AC668" i="10"/>
  <c r="AC2556" i="10"/>
  <c r="AC1578" i="10"/>
  <c r="AC1065" i="10"/>
  <c r="AC1967" i="10"/>
  <c r="AC163" i="10"/>
  <c r="AC1008" i="10"/>
  <c r="AC1493" i="10"/>
  <c r="AC571" i="10"/>
  <c r="AC1515" i="10"/>
  <c r="AC184" i="10"/>
  <c r="AC1869" i="10"/>
  <c r="AC361" i="10"/>
  <c r="AC804" i="10"/>
  <c r="AC828" i="10"/>
  <c r="AC526" i="10"/>
  <c r="AC317" i="10"/>
  <c r="AC366" i="10"/>
  <c r="AC1867" i="10"/>
  <c r="AC1476" i="10"/>
  <c r="AC2268" i="10"/>
  <c r="AC690" i="10"/>
  <c r="AC945" i="10"/>
  <c r="AC2589" i="10"/>
  <c r="AC2587" i="10"/>
  <c r="AC1377" i="10"/>
  <c r="AC1603" i="10"/>
  <c r="AC1095" i="10"/>
  <c r="AC272" i="10"/>
  <c r="AC833" i="10"/>
  <c r="AC1465" i="10"/>
  <c r="AC332" i="10"/>
  <c r="AC2317" i="10"/>
  <c r="AC1599" i="10"/>
  <c r="AC2494" i="10"/>
  <c r="AC864" i="10"/>
  <c r="AC875" i="10"/>
  <c r="AC2612" i="10"/>
  <c r="AC2572" i="10"/>
  <c r="AC883" i="10"/>
  <c r="AC1475" i="10"/>
  <c r="AC2591" i="10"/>
  <c r="AC589" i="10"/>
  <c r="AC1494" i="10"/>
  <c r="AC968" i="10"/>
  <c r="AC2585" i="10"/>
  <c r="AC321" i="10"/>
  <c r="AC696" i="10"/>
  <c r="AC1995" i="10"/>
  <c r="AC2784" i="10"/>
  <c r="AC2625" i="10"/>
  <c r="AC282" i="10"/>
  <c r="AC1750" i="10"/>
  <c r="AC277" i="10"/>
  <c r="AC2672" i="10"/>
  <c r="AC2596" i="10"/>
  <c r="AC1910" i="10"/>
  <c r="AC1162" i="10"/>
  <c r="AC2715" i="10"/>
  <c r="AC853" i="10"/>
  <c r="AC586" i="10"/>
  <c r="AC147" i="10"/>
  <c r="AC2607" i="10"/>
  <c r="AC1125" i="10"/>
  <c r="AC1340" i="10"/>
  <c r="AC2234" i="10"/>
  <c r="AC1777" i="10"/>
  <c r="AC1082" i="10"/>
  <c r="AC280" i="10"/>
  <c r="AC697" i="10"/>
  <c r="AC2087" i="10"/>
  <c r="AC1969" i="10"/>
  <c r="AC2302" i="10"/>
  <c r="AC182" i="10"/>
  <c r="AC257" i="10"/>
  <c r="AC1782" i="10"/>
  <c r="AC2796" i="10"/>
  <c r="AC2470" i="10"/>
  <c r="AC1764" i="10"/>
  <c r="AC2599" i="10"/>
  <c r="AC1220" i="10"/>
  <c r="AC803" i="10"/>
  <c r="AC2009" i="10"/>
  <c r="AC1607" i="10"/>
  <c r="AC587" i="10"/>
  <c r="AC1912" i="10"/>
  <c r="AC347" i="10"/>
  <c r="AC2002" i="10"/>
  <c r="AC1194" i="10"/>
  <c r="AC2273" i="10"/>
  <c r="AC1022" i="10"/>
  <c r="AC2567" i="10"/>
  <c r="AC2400" i="10"/>
  <c r="AC1635" i="10"/>
  <c r="AC1731" i="10"/>
  <c r="AC448" i="10"/>
  <c r="AC888" i="10"/>
  <c r="AC2555" i="10"/>
  <c r="AC432" i="10"/>
  <c r="AC276" i="10"/>
  <c r="AC313" i="10"/>
  <c r="AC1447" i="10"/>
  <c r="AC1504" i="10"/>
  <c r="AC365" i="10"/>
  <c r="AC1729" i="10"/>
  <c r="AC711" i="10"/>
  <c r="AC461" i="10"/>
  <c r="AC935" i="10"/>
  <c r="AC170" i="10"/>
  <c r="AC1010" i="10"/>
  <c r="AC478" i="10"/>
  <c r="AC1929" i="10"/>
  <c r="AC2232" i="10"/>
  <c r="AC1606" i="10"/>
  <c r="AC1622" i="10"/>
  <c r="AC974" i="10"/>
  <c r="AC1926" i="10"/>
  <c r="AC2046" i="10"/>
  <c r="AC240" i="10"/>
  <c r="AC2610" i="10"/>
  <c r="AC1362" i="10"/>
  <c r="AC1291" i="10"/>
  <c r="AC2522" i="10"/>
  <c r="AC1711" i="10"/>
  <c r="AC1684" i="10"/>
  <c r="AC795" i="10"/>
  <c r="AC440" i="10"/>
  <c r="AC682" i="10"/>
  <c r="AC1371" i="10"/>
  <c r="AC349" i="10"/>
  <c r="AC1428" i="10"/>
  <c r="AC770" i="10"/>
  <c r="AC2647" i="10"/>
  <c r="AC1667" i="10"/>
  <c r="AC1596" i="10"/>
  <c r="AC709" i="10"/>
  <c r="AC1454" i="10"/>
  <c r="AC373" i="10"/>
  <c r="AC895" i="10"/>
  <c r="AC1488" i="10"/>
  <c r="AC186" i="10"/>
  <c r="AC107" i="10"/>
  <c r="AC2521" i="10"/>
  <c r="AC1487" i="10"/>
  <c r="AC1537" i="10"/>
  <c r="AC2619" i="10"/>
  <c r="AC1883" i="10"/>
  <c r="AC2164" i="10"/>
  <c r="AC1334" i="10"/>
  <c r="AC787" i="10"/>
  <c r="AC2455" i="10"/>
  <c r="AC2642" i="10"/>
  <c r="AC1091" i="10"/>
  <c r="AC2331" i="10"/>
  <c r="AC326" i="10"/>
  <c r="AC1420" i="10"/>
  <c r="AC279" i="10"/>
  <c r="AC176" i="10"/>
  <c r="AC2086" i="10"/>
  <c r="AC673" i="10"/>
  <c r="AC610" i="10"/>
  <c r="AC1361" i="10"/>
  <c r="AC887" i="10"/>
  <c r="AC355" i="10"/>
  <c r="AC1831" i="10"/>
  <c r="AC1630" i="10"/>
  <c r="AC760" i="10"/>
  <c r="AC1712" i="10"/>
  <c r="AC1538" i="10"/>
  <c r="AC1533" i="10"/>
  <c r="AC1043" i="10"/>
  <c r="AC304" i="10"/>
  <c r="AC1936" i="10"/>
  <c r="AC207" i="10"/>
  <c r="AC1213" i="10"/>
  <c r="AC1972" i="10"/>
  <c r="AC1920" i="10"/>
  <c r="AC1600" i="10"/>
  <c r="AC2062" i="10"/>
  <c r="AC553" i="10"/>
  <c r="AC2023" i="10"/>
  <c r="AC2044" i="10"/>
  <c r="AC2466" i="10"/>
  <c r="AC863" i="10"/>
  <c r="AC2697" i="10"/>
  <c r="AC1552" i="10"/>
  <c r="AC1935" i="10"/>
  <c r="AC1338" i="10"/>
  <c r="AC661" i="10"/>
  <c r="AC654" i="10"/>
  <c r="AC2053" i="10"/>
  <c r="AC2320" i="10"/>
  <c r="AC563" i="10"/>
  <c r="AC1694" i="10"/>
  <c r="AC1012" i="10"/>
  <c r="AC1734" i="10"/>
  <c r="AC112" i="10"/>
  <c r="AC2505" i="10"/>
  <c r="AC2458" i="10"/>
  <c r="AC238" i="10"/>
  <c r="AC2712" i="10"/>
  <c r="AC1895" i="10"/>
  <c r="AC2399" i="10"/>
  <c r="AC2155" i="10"/>
  <c r="AC996" i="10"/>
  <c r="AC1101" i="10"/>
  <c r="AC1394" i="10"/>
  <c r="AC608" i="10"/>
  <c r="AC535" i="10"/>
  <c r="AC1038" i="10"/>
  <c r="AC346" i="10"/>
  <c r="AC575" i="10"/>
  <c r="AC2378" i="10"/>
  <c r="AC1707" i="10"/>
  <c r="AC1587" i="10"/>
  <c r="AC2110" i="10"/>
  <c r="AC554" i="10"/>
  <c r="AC1452" i="10"/>
  <c r="AC912" i="10"/>
  <c r="AC2278" i="10"/>
  <c r="AC2791" i="10"/>
  <c r="AC1105" i="10"/>
  <c r="AC152" i="10"/>
  <c r="AC2275" i="10"/>
  <c r="AC1503" i="10"/>
  <c r="AC1673" i="10"/>
  <c r="AC630" i="10"/>
  <c r="AC1960" i="10"/>
  <c r="AC658" i="10"/>
  <c r="AC2783" i="10"/>
  <c r="AC455" i="10"/>
  <c r="AC1300" i="10"/>
  <c r="AC2448" i="10"/>
  <c r="AC2296" i="10"/>
  <c r="AC1656" i="10"/>
  <c r="AC2600" i="10"/>
  <c r="AC2616" i="10"/>
  <c r="AC1702" i="10"/>
  <c r="AC1916" i="10"/>
  <c r="AC1963" i="10"/>
  <c r="AC979" i="10"/>
  <c r="AC512" i="10"/>
  <c r="AC739" i="10"/>
  <c r="AC1674" i="10"/>
  <c r="AC2277" i="10"/>
  <c r="AC1230" i="10"/>
  <c r="AC1397" i="10"/>
  <c r="AC1688" i="10"/>
  <c r="AC1431" i="10"/>
  <c r="AC364" i="10"/>
  <c r="AC2560" i="10"/>
  <c r="AC95" i="10"/>
  <c r="AC376" i="10"/>
  <c r="AC2114" i="10"/>
  <c r="AC2193" i="10"/>
  <c r="AC2363" i="10"/>
  <c r="AC924" i="10"/>
  <c r="AC2153" i="10"/>
  <c r="AC2413" i="10"/>
  <c r="AC1192" i="10"/>
  <c r="AC143" i="10"/>
  <c r="AC1925" i="10"/>
  <c r="AC2493" i="10"/>
  <c r="AC2224" i="10"/>
  <c r="AC2548" i="10"/>
  <c r="AC1006" i="10"/>
  <c r="AC999" i="10"/>
  <c r="AC77" i="10"/>
  <c r="AC944" i="10"/>
  <c r="AC1438" i="10"/>
  <c r="AC2561" i="10"/>
  <c r="AC233" i="10"/>
  <c r="AC1481" i="10"/>
  <c r="AC201" i="10"/>
  <c r="AC2452" i="10"/>
  <c r="AC1448" i="10"/>
  <c r="AC779" i="10"/>
  <c r="AC2646" i="10"/>
  <c r="AC462" i="10"/>
  <c r="AC1178" i="10"/>
  <c r="AC123" i="10"/>
  <c r="AC1576" i="10"/>
  <c r="AC525" i="10"/>
  <c r="AC877" i="10"/>
  <c r="AC1427" i="10"/>
  <c r="AC2353" i="10"/>
  <c r="AC1911" i="10"/>
  <c r="AC108" i="10"/>
  <c r="AC2716" i="10"/>
  <c r="AC2541" i="10"/>
  <c r="AC2161" i="10"/>
  <c r="AC2027" i="10"/>
  <c r="AC2636" i="10"/>
  <c r="AC2266" i="10"/>
  <c r="AC569" i="10"/>
  <c r="AC1659" i="10"/>
  <c r="AC1023" i="10"/>
  <c r="AC880" i="10"/>
  <c r="AC980" i="10"/>
  <c r="AC1041" i="10"/>
  <c r="AC1703" i="10"/>
  <c r="AC2067" i="10"/>
  <c r="AC2463" i="10"/>
  <c r="AC2128" i="10"/>
  <c r="AC646" i="10"/>
  <c r="AC1624" i="10"/>
  <c r="AC2191" i="10"/>
  <c r="AC375" i="10"/>
  <c r="AC2575" i="10"/>
  <c r="AC1064" i="10"/>
  <c r="AC324" i="10"/>
  <c r="AC1970" i="10"/>
  <c r="AC813" i="10"/>
  <c r="AC1803" i="10"/>
  <c r="AC1240" i="10"/>
  <c r="AC1158" i="10"/>
  <c r="AC285" i="10"/>
  <c r="AC738" i="10"/>
  <c r="AC260" i="10"/>
  <c r="AC1331" i="10"/>
  <c r="AC928" i="10"/>
  <c r="AC157" i="10"/>
  <c r="AC2654" i="10"/>
  <c r="AC1934" i="10"/>
  <c r="AC1767" i="10"/>
  <c r="AC1333" i="10"/>
  <c r="AC2267" i="10"/>
  <c r="AC1297" i="10"/>
  <c r="AC130" i="10"/>
  <c r="AC627" i="10"/>
  <c r="AC315" i="10"/>
  <c r="AC726" i="10"/>
  <c r="AC762" i="10"/>
  <c r="AC2476" i="10"/>
  <c r="AC769" i="10"/>
  <c r="AC79" i="10"/>
  <c r="AC2315" i="10"/>
  <c r="AC1939" i="10"/>
  <c r="AC1880" i="10"/>
  <c r="AC1104" i="10"/>
  <c r="AC125" i="10"/>
  <c r="AC1174" i="10"/>
  <c r="AC465" i="10"/>
  <c r="AC649" i="10"/>
  <c r="AC195" i="10"/>
  <c r="AC1285" i="10"/>
  <c r="AC681" i="10"/>
  <c r="AC2184" i="10"/>
  <c r="AC2156" i="10"/>
  <c r="AC1638" i="10"/>
  <c r="AC1657" i="10"/>
  <c r="AC2640" i="10"/>
  <c r="AC239" i="10"/>
  <c r="AC1991" i="10"/>
  <c r="AC2410" i="10"/>
  <c r="AC433" i="10"/>
  <c r="AC1706" i="10"/>
  <c r="AC2402" i="10"/>
  <c r="AC689" i="10"/>
  <c r="AC2559" i="10"/>
  <c r="AC702" i="10"/>
  <c r="AC2652" i="10"/>
  <c r="AC1875" i="10"/>
  <c r="AC1060" i="10"/>
  <c r="AC1059" i="10"/>
  <c r="AC1058" i="10"/>
  <c r="AC1672" i="10"/>
  <c r="AC1619" i="10"/>
  <c r="AC860" i="10"/>
  <c r="AC2480" i="10"/>
  <c r="AC2326" i="10"/>
  <c r="AC2727" i="10"/>
  <c r="AC562" i="10"/>
  <c r="AC1529" i="10"/>
  <c r="AC2665" i="10"/>
  <c r="AC2726" i="10"/>
  <c r="AC283" i="10"/>
  <c r="AC1692" i="10"/>
  <c r="AC2497" i="10"/>
  <c r="AC103" i="10"/>
  <c r="AC2688" i="10"/>
  <c r="AC1067" i="10"/>
  <c r="AC1389" i="10"/>
  <c r="AC2169" i="10"/>
  <c r="AC1307" i="10"/>
  <c r="AC1026" i="10"/>
  <c r="AC1380" i="10"/>
  <c r="AC1845" i="10"/>
  <c r="AC2713" i="10"/>
  <c r="AC2490" i="10"/>
  <c r="AC2032" i="10"/>
  <c r="AC597" i="10"/>
  <c r="AC670" i="10"/>
  <c r="AC1416" i="10"/>
  <c r="AC1522" i="10"/>
  <c r="AC916" i="10"/>
  <c r="AC1914" i="10"/>
  <c r="AC1535" i="10"/>
  <c r="AC2510" i="10"/>
  <c r="AC1778" i="10"/>
  <c r="AC1102" i="10"/>
  <c r="AC2118" i="10"/>
  <c r="AC121" i="10"/>
  <c r="AC824" i="10"/>
  <c r="AC2621" i="10"/>
  <c r="AC1372" i="10"/>
  <c r="AC1001" i="10"/>
  <c r="AC644" i="10"/>
  <c r="AC256" i="10"/>
  <c r="AC2349" i="10"/>
  <c r="AC816" i="10"/>
  <c r="AC149" i="10"/>
  <c r="AC1571" i="10"/>
  <c r="AC1433" i="10"/>
  <c r="AC2144" i="10"/>
  <c r="AC540" i="10"/>
  <c r="AC871" i="10"/>
  <c r="AC645" i="10"/>
  <c r="AC1618" i="10"/>
  <c r="AC1837" i="10"/>
  <c r="AC2457" i="10"/>
  <c r="AC585" i="10"/>
  <c r="AC116" i="10"/>
  <c r="AC692" i="10"/>
  <c r="AC1894" i="10"/>
  <c r="AC482" i="10"/>
  <c r="AC69" i="10"/>
  <c r="AC2800" i="10"/>
  <c r="AC2504" i="10"/>
  <c r="AC600" i="10"/>
  <c r="AC1106" i="10"/>
  <c r="AC1828" i="10"/>
  <c r="AC2570" i="10"/>
  <c r="AC2259" i="10"/>
  <c r="AC2431" i="10"/>
  <c r="AC2398" i="10"/>
  <c r="AC653" i="10"/>
  <c r="AC2324" i="10"/>
  <c r="AC1096" i="10"/>
  <c r="AC2123" i="10"/>
  <c r="AC801" i="10"/>
  <c r="AC971" i="10"/>
  <c r="AC1818" i="10"/>
  <c r="AC308" i="10"/>
  <c r="AC531" i="10"/>
  <c r="AC2405" i="10"/>
  <c r="AC1461" i="10"/>
  <c r="AC1062" i="10"/>
  <c r="AC135" i="10"/>
  <c r="AC1344" i="10"/>
  <c r="AC603" i="10"/>
  <c r="AC2007" i="10"/>
  <c r="AC1239" i="10"/>
  <c r="AC987" i="10"/>
  <c r="AC891" i="10"/>
  <c r="AC1956" i="10"/>
  <c r="AC852" i="10"/>
  <c r="AC1412" i="10"/>
  <c r="AC2041" i="10"/>
  <c r="AC1885" i="10"/>
  <c r="AC1489" i="10"/>
  <c r="AC2337" i="10"/>
  <c r="AC2237" i="10"/>
  <c r="AC2609" i="10"/>
  <c r="AC758" i="10"/>
  <c r="AC2063" i="10"/>
  <c r="AC509" i="10"/>
  <c r="AC2111" i="10"/>
  <c r="AC2573" i="10"/>
  <c r="AC972" i="10"/>
  <c r="AC1426" i="10"/>
  <c r="AC1517" i="10"/>
  <c r="AC2168" i="10"/>
  <c r="AC1550" i="10"/>
  <c r="AC1319" i="10"/>
  <c r="AC2682" i="10"/>
  <c r="AC735" i="10"/>
  <c r="AC154" i="10"/>
  <c r="AC960" i="10"/>
  <c r="AC1061" i="10"/>
  <c r="AC1546" i="10"/>
  <c r="AC1336" i="10"/>
  <c r="AC564" i="10"/>
  <c r="AC470" i="10"/>
  <c r="AC275" i="10"/>
  <c r="AC1554" i="10"/>
  <c r="AC80" i="10"/>
  <c r="AC2231" i="10"/>
  <c r="AC1614" i="10"/>
  <c r="AC2582" i="10"/>
  <c r="AC2372" i="10"/>
  <c r="AC2108" i="10"/>
  <c r="AC1083" i="10"/>
  <c r="AC2793" i="10"/>
  <c r="AC2135" i="10"/>
  <c r="AC635" i="10"/>
  <c r="AC1165" i="10"/>
  <c r="AC1398" i="10"/>
  <c r="AC1236" i="10"/>
  <c r="AC2418" i="10"/>
  <c r="AC2581" i="10"/>
  <c r="AC1563" i="10"/>
  <c r="AC2048" i="10"/>
  <c r="AC1135" i="10"/>
  <c r="AC1983" i="10"/>
  <c r="AC211" i="10"/>
  <c r="AC446" i="10"/>
  <c r="AC2225" i="10"/>
  <c r="AC2729" i="10"/>
  <c r="AC2307" i="10"/>
  <c r="AC2744" i="10"/>
  <c r="AC2059" i="10"/>
  <c r="AC299" i="10"/>
  <c r="AC2525" i="10"/>
  <c r="AC2348" i="10"/>
  <c r="AC2352" i="10"/>
  <c r="AC1677" i="10"/>
  <c r="AC867" i="10"/>
  <c r="AC291" i="10"/>
  <c r="AC699" i="10"/>
  <c r="AC2643" i="10"/>
  <c r="AC793" i="10"/>
  <c r="AC651" i="10"/>
  <c r="AC897" i="10"/>
  <c r="AC515" i="10"/>
  <c r="AC1748" i="10"/>
  <c r="AC922" i="10"/>
  <c r="AC926" i="10"/>
  <c r="AC904" i="10"/>
  <c r="AC2706" i="10"/>
  <c r="AC708" i="10"/>
  <c r="AC328" i="10"/>
  <c r="AC1151" i="10"/>
  <c r="AC2550" i="10"/>
  <c r="AC2501" i="10"/>
  <c r="AC1282" i="10"/>
  <c r="AC2629" i="10"/>
  <c r="AC2571" i="10"/>
  <c r="AC450" i="10"/>
  <c r="AC1737" i="10"/>
  <c r="AC1897" i="10"/>
  <c r="AC2143" i="10"/>
  <c r="AC641" i="10"/>
  <c r="AC1757" i="10"/>
  <c r="AC331" i="10"/>
  <c r="AC2630" i="10"/>
  <c r="AC528" i="10"/>
  <c r="AC2208" i="10"/>
  <c r="AC1348" i="10"/>
  <c r="AC755" i="10"/>
  <c r="AC826" i="10"/>
  <c r="AC1343" i="10"/>
  <c r="AC263" i="10"/>
  <c r="AC2614" i="10"/>
  <c r="AC1330" i="10"/>
  <c r="AC761" i="10"/>
  <c r="AC1795" i="10"/>
  <c r="AC1491" i="10"/>
  <c r="AC2795" i="10"/>
  <c r="AC2185" i="10"/>
  <c r="AC527" i="10"/>
  <c r="AC188" i="10"/>
  <c r="AC1094" i="10"/>
  <c r="AC1261" i="10"/>
  <c r="AC2487" i="10"/>
  <c r="AC1049" i="10"/>
  <c r="AC508" i="10"/>
  <c r="AC1725" i="10"/>
  <c r="AC566" i="10"/>
  <c r="AC429" i="10"/>
  <c r="AC2142" i="10"/>
  <c r="AC517" i="10"/>
  <c r="AC2428" i="10"/>
  <c r="AC703" i="10"/>
  <c r="AC2462" i="10"/>
  <c r="AC1222" i="10"/>
  <c r="AC1303" i="10"/>
  <c r="AC307" i="10"/>
  <c r="AC570" i="10"/>
  <c r="AC258" i="10"/>
  <c r="AC1849" i="10"/>
  <c r="AC293" i="10"/>
  <c r="AC1856" i="10"/>
  <c r="AC2283" i="10"/>
  <c r="AC1921" i="10"/>
  <c r="AC2502" i="10"/>
  <c r="AC1036" i="10"/>
  <c r="AC51" i="10"/>
  <c r="AC1186" i="10"/>
  <c r="AC480" i="10"/>
  <c r="AC1678" i="10"/>
  <c r="AC2433" i="10"/>
  <c r="AC1591" i="10"/>
  <c r="AC1500" i="10"/>
  <c r="AC1907" i="10"/>
  <c r="AC2082" i="10"/>
  <c r="AC1797" i="10"/>
  <c r="AC1612" i="10"/>
  <c r="AC581" i="10"/>
  <c r="AC1516" i="10"/>
  <c r="AC584" i="10"/>
  <c r="AC1660" i="10"/>
  <c r="AC997" i="10"/>
  <c r="AC936" i="10"/>
  <c r="AC931" i="10"/>
  <c r="AC676" i="10"/>
  <c r="AC2130" i="10"/>
  <c r="AC1636" i="10"/>
  <c r="AC434" i="10"/>
  <c r="AC352" i="10"/>
  <c r="AC1994" i="10"/>
  <c r="AC2592" i="10"/>
  <c r="AC1404" i="10"/>
  <c r="AC2597" i="10"/>
  <c r="AC1675" i="10"/>
  <c r="AC222" i="10"/>
  <c r="AC1129" i="10"/>
  <c r="AC2588" i="10"/>
  <c r="AC1971" i="10"/>
  <c r="AC1738" i="10"/>
  <c r="AC612" i="10"/>
  <c r="AC1710" i="10"/>
  <c r="AC1093" i="10"/>
  <c r="AC1651" i="10"/>
  <c r="AC1902" i="10"/>
  <c r="AC518" i="10"/>
  <c r="AC2003" i="10"/>
  <c r="AC2574" i="10"/>
  <c r="AC2508" i="10"/>
  <c r="AC2576" i="10"/>
  <c r="AC536" i="10"/>
  <c r="AC1229" i="10"/>
  <c r="AC1258" i="10"/>
  <c r="AC1683" i="10"/>
  <c r="AC1183" i="10"/>
  <c r="AC367" i="10"/>
  <c r="AC1611" i="10"/>
  <c r="AC253" i="10"/>
  <c r="AC1466" i="10"/>
  <c r="AC193" i="10"/>
  <c r="AC2562" i="10"/>
  <c r="AC75" i="10"/>
  <c r="AC1864" i="10"/>
  <c r="AC426" i="10"/>
  <c r="AC2299" i="10"/>
  <c r="AC1467" i="10"/>
  <c r="AC2753" i="10"/>
  <c r="AC516" i="10"/>
  <c r="AC2395" i="10"/>
  <c r="AC667" i="10"/>
  <c r="AC1073" i="10"/>
  <c r="AC2012" i="10"/>
  <c r="AC911" i="10"/>
  <c r="AC2008" i="10"/>
  <c r="AC2391" i="10"/>
  <c r="AC939" i="10"/>
  <c r="AC146" i="10"/>
  <c r="AC70" i="10"/>
  <c r="AC1440" i="10"/>
  <c r="AC2321" i="10"/>
  <c r="AC456" i="10"/>
  <c r="AC474" i="10"/>
  <c r="AC1772" i="10"/>
  <c r="AC2365" i="10"/>
  <c r="AC2756" i="10"/>
  <c r="AC356" i="10"/>
  <c r="AC200" i="10"/>
  <c r="AC2566" i="10"/>
  <c r="AC323" i="10"/>
  <c r="AC1347" i="10"/>
  <c r="AC2016" i="10"/>
  <c r="AC437" i="10"/>
  <c r="AC1324" i="10"/>
  <c r="AC1642" i="10"/>
  <c r="AC1980" i="10"/>
  <c r="AC1594" i="10"/>
  <c r="AC270" i="10"/>
  <c r="AC601" i="10"/>
  <c r="AC372" i="10"/>
  <c r="AC314" i="10"/>
  <c r="AC2170" i="10"/>
  <c r="AC2477" i="10"/>
  <c r="AC1232" i="10"/>
  <c r="AC1013" i="10"/>
  <c r="AC766" i="10"/>
  <c r="AC241" i="10"/>
  <c r="AC561" i="10"/>
  <c r="AC1414" i="10"/>
  <c r="AC2083" i="10"/>
  <c r="AC2628" i="10"/>
  <c r="AC1801" i="10"/>
  <c r="AC802" i="10"/>
  <c r="AC196" i="10"/>
  <c r="AC1822" i="10"/>
  <c r="AC1141" i="10"/>
  <c r="AC1110" i="10"/>
  <c r="AC1185" i="10"/>
  <c r="AC1168" i="10"/>
  <c r="AC1979" i="10"/>
  <c r="AC1669" i="10"/>
  <c r="AC2323" i="10"/>
  <c r="AC126" i="10"/>
  <c r="AC1844" i="10"/>
  <c r="AC1298" i="10"/>
  <c r="AC970" i="10"/>
  <c r="AC284" i="10"/>
  <c r="AC2511" i="10"/>
  <c r="AC1565" i="10"/>
  <c r="AC938" i="10"/>
  <c r="AC1805" i="10"/>
  <c r="AC1786" i="10"/>
  <c r="AC2006" i="10"/>
  <c r="AC2051" i="10"/>
  <c r="AC2119" i="10"/>
  <c r="AC1310" i="10"/>
  <c r="AC545" i="10"/>
  <c r="AC2394" i="10"/>
  <c r="AC800" i="10"/>
  <c r="AC464" i="10"/>
  <c r="AC710" i="10"/>
  <c r="AC1905" i="10"/>
  <c r="AC625" i="10"/>
  <c r="AC2029" i="10"/>
  <c r="AC2735" i="10"/>
  <c r="AC2305" i="10"/>
  <c r="AC215" i="10"/>
  <c r="AC1927" i="10"/>
  <c r="AC836" i="10"/>
  <c r="AC1415" i="10"/>
  <c r="AC814" i="10"/>
  <c r="AC1961" i="10"/>
  <c r="AC652" i="10"/>
  <c r="AC1318" i="10"/>
  <c r="AC106" i="10"/>
  <c r="AC2113" i="10"/>
  <c r="AC1981" i="10"/>
  <c r="AC1172" i="10"/>
  <c r="AC865" i="10"/>
  <c r="AC469" i="10"/>
  <c r="AC560" i="10"/>
  <c r="AC1788" i="10"/>
  <c r="AC2661" i="10"/>
  <c r="AC634" i="10"/>
  <c r="AC151" i="10"/>
  <c r="AC2149" i="10"/>
  <c r="AC274" i="10"/>
  <c r="AC1155" i="10"/>
  <c r="AC590" i="10"/>
  <c r="AC716" i="10"/>
  <c r="AC1634" i="10"/>
  <c r="AC1027" i="10"/>
  <c r="AC1490" i="10"/>
  <c r="AC1727" i="10"/>
  <c r="AC822" i="10"/>
  <c r="AC1930" i="10"/>
  <c r="AC2117" i="10"/>
  <c r="AC1486" i="10"/>
  <c r="AC1403" i="10"/>
  <c r="AC592" i="10"/>
  <c r="AC1507" i="10"/>
  <c r="AC294" i="10"/>
  <c r="AC870" i="10"/>
  <c r="AC839" i="10"/>
  <c r="AC1860" i="10"/>
  <c r="AC2020" i="10"/>
  <c r="AC648" i="10"/>
  <c r="AC2667" i="10"/>
  <c r="AC128" i="10"/>
  <c r="AC435" i="10"/>
  <c r="AC2056" i="10"/>
  <c r="AC288" i="10"/>
  <c r="AC298" i="10"/>
  <c r="AC1608" i="10"/>
  <c r="AC1825" i="10"/>
  <c r="AC2601" i="10"/>
  <c r="AC691" i="10"/>
  <c r="AC2030" i="10"/>
  <c r="AC1482" i="10"/>
  <c r="AC296" i="10"/>
  <c r="AC611" i="10"/>
  <c r="AC1235" i="10"/>
  <c r="AC1130" i="10"/>
  <c r="AC2752" i="10"/>
  <c r="AC84" i="10"/>
  <c r="AC532" i="10"/>
  <c r="AC2227" i="10"/>
  <c r="AC2538" i="10"/>
  <c r="AC2158" i="10"/>
  <c r="AC777" i="10"/>
  <c r="AC2755" i="10"/>
  <c r="AC1100" i="10"/>
  <c r="AC2685" i="10"/>
  <c r="AC2131" i="10"/>
  <c r="AC2262" i="10"/>
  <c r="AC1799" i="10"/>
  <c r="AC2797" i="10"/>
  <c r="AC619" i="10"/>
  <c r="AC2530" i="10"/>
  <c r="AC2194" i="10"/>
  <c r="AC1143" i="10"/>
  <c r="AC1242" i="10"/>
  <c r="AC2584" i="10"/>
  <c r="AC471" i="10"/>
  <c r="AC2749" i="10"/>
  <c r="AC907" i="10"/>
  <c r="AC1685" i="10"/>
  <c r="AC524" i="10"/>
  <c r="AC576" i="10"/>
  <c r="AC866" i="10"/>
  <c r="AC1245" i="10"/>
  <c r="AC2718" i="10"/>
  <c r="AC1709" i="10"/>
  <c r="AC83" i="10"/>
  <c r="AC835" i="10"/>
  <c r="AC1019" i="10"/>
  <c r="AC2520" i="10"/>
  <c r="AC2681" i="10"/>
  <c r="AC2396" i="10"/>
  <c r="AC1367" i="10"/>
  <c r="AC2375" i="10"/>
  <c r="AC145" i="10"/>
  <c r="AC677" i="10"/>
  <c r="AC2335" i="10"/>
  <c r="AC165" i="10"/>
  <c r="AC2730" i="10"/>
  <c r="AC1290" i="10"/>
  <c r="AC2061" i="10"/>
  <c r="AC2050" i="10"/>
  <c r="AC1422" i="10"/>
  <c r="AC1283" i="10"/>
  <c r="AC1922" i="10"/>
  <c r="AC1287" i="10"/>
  <c r="AC1602" i="10"/>
  <c r="AC809" i="10"/>
  <c r="AC998" i="10"/>
  <c r="AC1379" i="10"/>
  <c r="AC1794" i="10"/>
  <c r="AC1889" i="10"/>
  <c r="AC2421" i="10"/>
  <c r="AC2308" i="10"/>
  <c r="AC2707" i="10"/>
  <c r="AC1945" i="10"/>
  <c r="AC1217" i="10"/>
  <c r="AC665" i="10"/>
  <c r="AC1588" i="10"/>
  <c r="AC1262" i="10"/>
  <c r="AC1408" i="10"/>
  <c r="AC900" i="10"/>
  <c r="AC2673" i="10"/>
  <c r="AC1390" i="10"/>
  <c r="AC1346" i="10"/>
  <c r="AC1381" i="10"/>
  <c r="AC522" i="10"/>
  <c r="AC2694" i="10"/>
  <c r="AC1698" i="10"/>
  <c r="AC2798" i="10"/>
  <c r="AC2414" i="10"/>
  <c r="AC2422" i="10"/>
  <c r="AC2464" i="10"/>
  <c r="AC2081" i="10"/>
  <c r="AC232" i="10"/>
  <c r="AC358" i="10"/>
  <c r="AC1713" i="10"/>
  <c r="AC2286" i="10"/>
  <c r="AC1405" i="10"/>
  <c r="AC2013" i="10"/>
  <c r="AC460" i="10"/>
  <c r="AC2301" i="10"/>
  <c r="AC2334" i="10"/>
  <c r="AC2580" i="10"/>
  <c r="AC1843" i="10"/>
  <c r="AC2147" i="10"/>
  <c r="AC2236" i="10"/>
  <c r="AC1209" i="10"/>
  <c r="AC2210" i="10"/>
  <c r="AC1827" i="10"/>
  <c r="AC1211" i="10"/>
  <c r="AC613" i="10"/>
  <c r="AC1762" i="10"/>
  <c r="AC1117" i="10"/>
  <c r="AC674" i="10"/>
  <c r="AC1302" i="10"/>
  <c r="AC572" i="10"/>
  <c r="AC2578" i="10"/>
  <c r="AC1138" i="10"/>
  <c r="AC183" i="10"/>
  <c r="AC818" i="10"/>
  <c r="AC2328" i="10"/>
  <c r="AC2703" i="10"/>
  <c r="AC1766" i="10"/>
  <c r="AC1676" i="10"/>
  <c r="AC2284" i="10"/>
  <c r="AC1455" i="10"/>
  <c r="AC117" i="10"/>
  <c r="AC1166" i="10"/>
  <c r="AC514" i="10"/>
  <c r="AC901" i="10"/>
  <c r="AC161" i="10"/>
  <c r="AC1148" i="10"/>
  <c r="AC2687" i="10"/>
  <c r="AC133" i="10"/>
  <c r="AC1523" i="10"/>
  <c r="AC190" i="10"/>
  <c r="AC2420" i="10"/>
  <c r="AC292" i="10"/>
  <c r="AC2412" i="10"/>
  <c r="AC2140" i="10"/>
  <c r="AC1269" i="10"/>
  <c r="AC1014" i="10"/>
  <c r="AC2163" i="10"/>
  <c r="AC2482" i="10"/>
  <c r="AC906" i="10"/>
  <c r="AC1892" i="10"/>
  <c r="AC1681" i="10"/>
  <c r="AC92" i="10"/>
  <c r="AC1749" i="10"/>
  <c r="AC247" i="10"/>
  <c r="AC558" i="10"/>
  <c r="AC1317" i="10"/>
  <c r="AC932" i="10"/>
  <c r="AC844" i="10"/>
  <c r="AC1238" i="10"/>
  <c r="AC1633" i="10"/>
  <c r="AC1388" i="10"/>
  <c r="AC830" i="10"/>
  <c r="AC1444" i="10"/>
  <c r="AC1891" i="10"/>
  <c r="AC1044" i="10"/>
  <c r="AC1492" i="10"/>
  <c r="AC1374" i="10"/>
  <c r="AC2533" i="10"/>
  <c r="AC1616" i="10"/>
  <c r="AC2671" i="10"/>
  <c r="AC336" i="10"/>
  <c r="AC1140" i="10"/>
  <c r="AC208" i="10"/>
  <c r="AC2186" i="10"/>
  <c r="AC2757" i="10"/>
  <c r="AC2540" i="10"/>
  <c r="AC1250" i="10"/>
  <c r="AC542" i="10"/>
  <c r="AC2270" i="10"/>
  <c r="AC1817" i="10"/>
  <c r="AC650" i="10"/>
  <c r="AC2440" i="10"/>
  <c r="AC159" i="10"/>
  <c r="AC1644" i="10"/>
  <c r="AC2527" i="10"/>
  <c r="AC957" i="10"/>
  <c r="AC1699" i="10"/>
  <c r="AC1739" i="10"/>
  <c r="AC1562" i="10"/>
  <c r="AC1816" i="10"/>
  <c r="AC1305" i="10"/>
  <c r="AC305" i="10"/>
  <c r="AC631" i="10"/>
  <c r="AC1423" i="10"/>
  <c r="AC823" i="10"/>
  <c r="AC1142" i="10"/>
  <c r="AC1114" i="10"/>
  <c r="AC749" i="10"/>
  <c r="AC1505" i="10"/>
  <c r="AC2018" i="10"/>
  <c r="AC1063" i="10"/>
  <c r="AC841" i="10"/>
  <c r="AC273" i="10"/>
  <c r="AC1453" i="10"/>
  <c r="AC1872" i="10"/>
  <c r="AC2693" i="10"/>
  <c r="AC1923" i="10"/>
  <c r="AC2279" i="10"/>
  <c r="AC1918" i="10"/>
  <c r="AC1047" i="10"/>
  <c r="AC763" i="10"/>
  <c r="AC100" i="10"/>
  <c r="AC1704" i="10"/>
  <c r="AC1139" i="10"/>
  <c r="AC580" i="10"/>
  <c r="AC1078" i="10"/>
  <c r="AC2427" i="10"/>
  <c r="AC2254" i="10"/>
  <c r="AC1613" i="10"/>
  <c r="AC728" i="10"/>
  <c r="AC798" i="10"/>
  <c r="AC2579" i="10"/>
  <c r="AC249" i="10"/>
  <c r="AC538" i="10"/>
  <c r="AC1838" i="10"/>
  <c r="AC1401" i="10"/>
  <c r="AC1268" i="10"/>
  <c r="AC171" i="10"/>
  <c r="AC1004" i="10"/>
  <c r="AC481" i="10"/>
  <c r="AC2129" i="10"/>
  <c r="AC1087" i="10"/>
  <c r="AC1456" i="10"/>
  <c r="AC1153" i="10"/>
  <c r="AC50" i="10"/>
  <c r="AC605" i="10"/>
  <c r="AC1871" i="10"/>
  <c r="AC2005" i="10"/>
  <c r="AC2244" i="10"/>
  <c r="AC1937" i="10"/>
  <c r="AC205" i="10"/>
  <c r="AC2649" i="10"/>
  <c r="AC168" i="10"/>
  <c r="AC1940" i="10"/>
  <c r="AC1149" i="10"/>
  <c r="AC1441" i="10"/>
  <c r="AC827" i="10"/>
  <c r="AC2423" i="10"/>
  <c r="AC2209" i="10"/>
  <c r="AC1234" i="10"/>
  <c r="AC2790" i="10"/>
  <c r="AC1323" i="10"/>
  <c r="AC2001" i="10"/>
  <c r="AC371" i="10"/>
  <c r="AC717" i="10"/>
  <c r="AC2338" i="10"/>
  <c r="AC2282" i="10"/>
  <c r="AC899" i="10"/>
  <c r="AC1076" i="10"/>
  <c r="AC479" i="10"/>
  <c r="AC300" i="10"/>
  <c r="AC756" i="10"/>
  <c r="AC1123" i="10"/>
  <c r="AC1205" i="10"/>
  <c r="AC2049" i="10"/>
  <c r="AC102" i="10"/>
  <c r="AC2438" i="10"/>
  <c r="AC523" i="10"/>
  <c r="AC271" i="10"/>
  <c r="AC851" i="10"/>
  <c r="AC2714" i="10"/>
  <c r="AC2364" i="10"/>
  <c r="AC829" i="10"/>
  <c r="AC1369" i="10"/>
  <c r="AC1355" i="10"/>
  <c r="AC1246" i="10"/>
  <c r="AC1978" i="10"/>
  <c r="AC1309" i="10"/>
  <c r="AC2371" i="10"/>
  <c r="AC2524" i="10"/>
  <c r="AC2134" i="10"/>
  <c r="AC929" i="10"/>
  <c r="AC910" i="10"/>
  <c r="AC2435" i="10"/>
  <c r="AC964" i="10"/>
  <c r="AC203" i="10"/>
  <c r="AC2603" i="10"/>
  <c r="AC620" i="10"/>
  <c r="AC1898" i="10"/>
  <c r="AC2743" i="10"/>
  <c r="AC118" i="10"/>
  <c r="AC488" i="10"/>
  <c r="AC599" i="10"/>
  <c r="AC494" i="10"/>
  <c r="AC848" i="10"/>
  <c r="AC1915" i="10"/>
  <c r="AC2699" i="10"/>
  <c r="AC1131" i="10"/>
  <c r="AC483" i="10"/>
  <c r="AC451" i="10"/>
  <c r="AC1811" i="10"/>
  <c r="AC1025" i="10"/>
  <c r="AC1899" i="10"/>
  <c r="AC1957" i="10"/>
  <c r="AC1496" i="10"/>
  <c r="AC2297" i="10"/>
  <c r="AC286" i="10"/>
  <c r="AC463" i="10"/>
  <c r="AC1993" i="10"/>
  <c r="AC1000" i="10"/>
  <c r="AC2300" i="10"/>
  <c r="AC1042" i="10"/>
  <c r="AC2230" i="10"/>
  <c r="AC1534" i="10"/>
  <c r="AC2434" i="10"/>
  <c r="AC672" i="10"/>
  <c r="AC1931" i="10"/>
  <c r="AC2443" i="10"/>
  <c r="AC115" i="10"/>
  <c r="AC302" i="10"/>
  <c r="AC2152" i="10"/>
  <c r="AC342" i="10"/>
  <c r="AC2456" i="10"/>
  <c r="AC1035" i="10"/>
  <c r="AC2430" i="10"/>
  <c r="AC701" i="10"/>
  <c r="AC141" i="10"/>
  <c r="AC457" i="10"/>
  <c r="AC489" i="10"/>
  <c r="AC501" i="10"/>
  <c r="AC493" i="10"/>
  <c r="AC1136" i="10"/>
  <c r="AC2638" i="10"/>
  <c r="AC243" i="10"/>
  <c r="AC357" i="10"/>
  <c r="AC963" i="10"/>
  <c r="AC1639" i="10"/>
  <c r="AC2311" i="10"/>
  <c r="AC2092" i="10"/>
  <c r="AC2500" i="10"/>
  <c r="AC1973" i="10"/>
  <c r="AC903" i="10"/>
  <c r="AC1112" i="10"/>
  <c r="AC1846" i="10"/>
  <c r="AC316" i="10"/>
  <c r="AC2519" i="10"/>
  <c r="AC2256" i="10"/>
  <c r="AC529" i="10"/>
  <c r="AC2291" i="10"/>
  <c r="AC808" i="10"/>
  <c r="AC1964" i="10"/>
  <c r="AC2289" i="10"/>
  <c r="AC1809" i="10"/>
  <c r="AC2327" i="10"/>
  <c r="AC2686" i="10"/>
  <c r="AC1579" i="10"/>
  <c r="AC2366" i="10"/>
  <c r="AC1357" i="10"/>
  <c r="AC2057" i="10"/>
  <c r="AC1161" i="10"/>
  <c r="AC142" i="10"/>
  <c r="AC458" i="10"/>
  <c r="AC490" i="10"/>
  <c r="AC500" i="10"/>
  <c r="AC892" i="10"/>
  <c r="AC1836" i="10"/>
  <c r="AC2637" i="10"/>
  <c r="AC1992" i="10"/>
  <c r="AC1941" i="10"/>
  <c r="AC2446" i="10"/>
  <c r="AC174" i="10"/>
  <c r="AC1829" i="10"/>
  <c r="AC1906" i="10"/>
  <c r="AC1539" i="10"/>
  <c r="AC2639" i="10"/>
  <c r="AC1637" i="10"/>
  <c r="AC2513" i="10"/>
  <c r="AC1111" i="10"/>
  <c r="AC988" i="10"/>
  <c r="AC2705" i="10"/>
  <c r="AC2641" i="10"/>
  <c r="AC533" i="10"/>
  <c r="AC1085" i="10"/>
  <c r="AC206" i="10"/>
  <c r="AC2789" i="10"/>
  <c r="AC815" i="10"/>
  <c r="AC1944" i="10"/>
  <c r="AC1284" i="10"/>
  <c r="AC2478" i="10"/>
  <c r="AC2404" i="10"/>
  <c r="AC1668" i="10"/>
  <c r="AC1445" i="10"/>
  <c r="AC1437" i="10"/>
  <c r="AC2479" i="10"/>
  <c r="AC155" i="10"/>
  <c r="AC1171" i="10"/>
  <c r="AC491" i="10"/>
  <c r="AC499" i="10"/>
  <c r="AC1002" i="10"/>
  <c r="AC2316" i="10"/>
  <c r="AC2545" i="10"/>
  <c r="AC2631" i="10"/>
  <c r="AC2272" i="10"/>
  <c r="AC622" i="10"/>
  <c r="AC1744" i="10"/>
  <c r="AC330" i="10"/>
  <c r="AC1679" i="10"/>
  <c r="AC2322" i="10"/>
  <c r="AC1583" i="10"/>
  <c r="AC1968" i="10"/>
  <c r="AC1392" i="10"/>
  <c r="AC1244" i="10"/>
  <c r="AC2702" i="10"/>
  <c r="AC2611" i="10"/>
  <c r="AC374" i="10"/>
  <c r="AC555" i="10"/>
  <c r="AC1654" i="10"/>
  <c r="AC715" i="10"/>
  <c r="AC2564" i="10"/>
  <c r="AC354" i="10"/>
  <c r="AC122" i="10"/>
  <c r="AC166" i="10"/>
  <c r="AC1190" i="10"/>
  <c r="AC583" i="10"/>
  <c r="AC1409" i="10"/>
  <c r="AC119" i="10"/>
  <c r="AC484" i="10"/>
  <c r="AC492" i="10"/>
  <c r="AC498" i="10"/>
  <c r="AC1225" i="10"/>
  <c r="AC2181" i="10"/>
  <c r="AC2758" i="10"/>
  <c r="AC2437" i="10"/>
  <c r="AC1577" i="10"/>
  <c r="AC82" i="10"/>
  <c r="AC2121" i="10"/>
  <c r="AC1773" i="10"/>
  <c r="AC506" i="10"/>
  <c r="AC1909" i="10"/>
  <c r="AC725" i="10"/>
  <c r="AC1530" i="10"/>
  <c r="AC1363" i="10"/>
  <c r="AC1768" i="10"/>
  <c r="AC2676" i="10"/>
  <c r="AC1406" i="10"/>
  <c r="AC2255" i="10"/>
  <c r="AC1826" i="10"/>
  <c r="AC1068" i="10"/>
  <c r="AC857" i="10"/>
  <c r="AC1458" i="10"/>
  <c r="AC1776" i="10"/>
  <c r="AC1841" i="10"/>
  <c r="AC1808" i="10"/>
  <c r="AC88" i="10"/>
  <c r="AC1032" i="10"/>
  <c r="AC2094" i="10"/>
  <c r="AC2509" i="10"/>
  <c r="AC1870" i="10"/>
  <c r="AC2060" i="10"/>
  <c r="AC311" i="10"/>
  <c r="AC497" i="10"/>
  <c r="AC846" i="10"/>
  <c r="AC2071" i="10"/>
  <c r="AC1373" i="10"/>
  <c r="AC1567" i="10"/>
  <c r="AC2568" i="10"/>
  <c r="AC2569" i="10"/>
  <c r="AC2417" i="10"/>
  <c r="AC1402" i="10"/>
  <c r="AC1765" i="10"/>
  <c r="AC2426" i="10"/>
  <c r="AC164" i="10"/>
  <c r="AC2750" i="10"/>
  <c r="AC2055" i="10"/>
  <c r="AC1368" i="10"/>
  <c r="AC1197" i="10"/>
  <c r="AC1410" i="10"/>
  <c r="AC344" i="10"/>
  <c r="AC127" i="10"/>
  <c r="AC2794" i="10"/>
  <c r="AC2553" i="10"/>
  <c r="AC1005" i="10"/>
  <c r="AC137" i="10"/>
  <c r="AC1228" i="10"/>
  <c r="AC1208" i="10"/>
  <c r="AC636" i="10"/>
  <c r="AC486" i="10"/>
  <c r="AC783" i="10"/>
  <c r="AC496" i="10"/>
  <c r="AC850" i="10"/>
  <c r="AC2065" i="10"/>
  <c r="AC204" i="10"/>
  <c r="AC2668" i="10"/>
  <c r="AC680" i="10"/>
  <c r="AC1163" i="10"/>
  <c r="AC720" i="10"/>
  <c r="AC1792" i="10"/>
  <c r="AC225" i="10"/>
  <c r="AC1451" i="10"/>
  <c r="AC495" i="10"/>
  <c r="AC2091" i="10"/>
  <c r="AC817" i="10"/>
  <c r="AC845" i="10"/>
  <c r="AC629" i="10"/>
  <c r="AC849" i="10"/>
  <c r="AC140" i="10"/>
  <c r="AC607" i="10"/>
  <c r="AC2495" i="10"/>
  <c r="AC1977" i="10"/>
  <c r="AC2264" i="10"/>
  <c r="AC2073" i="10"/>
  <c r="AC1328" i="10"/>
  <c r="AC281" i="10"/>
  <c r="AC541" i="10"/>
  <c r="AC1407" i="10"/>
  <c r="AC1802" i="10"/>
  <c r="AC2432" i="10"/>
  <c r="AC202" i="10"/>
  <c r="AC754" i="10"/>
  <c r="AC577" i="10"/>
  <c r="AC487" i="10"/>
  <c r="AC48" i="10"/>
  <c r="AC110" i="10" s="1"/>
  <c r="AC53" i="10" l="1"/>
  <c r="AC54" i="10"/>
  <c r="AC1950" i="24"/>
  <c r="AC120" i="10"/>
  <c r="AC948" i="10"/>
  <c r="AC2024" i="10"/>
  <c r="AC2026" i="10" s="1"/>
  <c r="AC1016" i="10"/>
  <c r="AC55" i="10" l="1"/>
  <c r="AC57" i="10"/>
  <c r="AC1951" i="24"/>
  <c r="AC58" i="10"/>
  <c r="AC796" i="10"/>
  <c r="AC59" i="10" l="1"/>
  <c r="AC1952" i="24"/>
  <c r="AC854" i="10"/>
  <c r="AC840" i="10"/>
  <c r="AC949" i="10"/>
  <c r="AC847" i="10"/>
  <c r="AC950" i="10"/>
  <c r="AC60" i="10" l="1"/>
  <c r="AC61" i="10"/>
  <c r="AC1953" i="24"/>
  <c r="AC951" i="10"/>
  <c r="AC952" i="10"/>
  <c r="AC62" i="10" l="1"/>
  <c r="AC1954" i="24"/>
  <c r="AC1241" i="10"/>
  <c r="AC1257" i="10" s="1"/>
  <c r="AC1345" i="10"/>
  <c r="AC1525" i="10"/>
  <c r="AC1975" i="10" s="1"/>
  <c r="AC2445" i="10"/>
  <c r="AC1955" i="24" l="1"/>
  <c r="AC63" i="10"/>
  <c r="AC1382" i="10"/>
  <c r="AC1956" i="24" l="1"/>
  <c r="AC64" i="10"/>
  <c r="AC1383" i="10"/>
  <c r="AC1957" i="24" l="1"/>
  <c r="AC65" i="10"/>
  <c r="AC1384" i="10"/>
  <c r="AC66" i="10" l="1"/>
  <c r="AC1958" i="24"/>
  <c r="AC1959" i="24" s="1"/>
  <c r="AC1960" i="24" s="1"/>
  <c r="AC1961" i="24" s="1"/>
  <c r="AC1962" i="24" s="1"/>
  <c r="AC1963" i="24" s="1"/>
  <c r="AC1964" i="24" s="1"/>
  <c r="AC1965" i="24" s="1"/>
  <c r="AC1966" i="24" s="1"/>
  <c r="AC1967" i="24" s="1"/>
  <c r="AC1968" i="24" s="1"/>
  <c r="AC1969" i="24" s="1"/>
  <c r="AC1970" i="24" s="1"/>
  <c r="AC1971" i="24" s="1"/>
  <c r="AC1972" i="24" s="1"/>
  <c r="AC1973" i="24" s="1"/>
  <c r="AC1974" i="24" s="1"/>
  <c r="AC1975" i="24" s="1"/>
  <c r="AC1976" i="24" s="1"/>
  <c r="AC1977" i="24" s="1"/>
  <c r="AC1978" i="24" s="1"/>
  <c r="AC1979" i="24" s="1"/>
  <c r="AC1980" i="24" s="1"/>
  <c r="AC1981" i="24" s="1"/>
  <c r="AC1982" i="24" s="1"/>
  <c r="AC1983" i="24" s="1"/>
  <c r="AC1984" i="24" s="1"/>
  <c r="AC1985" i="24" s="1"/>
  <c r="AC2037" i="24" s="1"/>
  <c r="AC2038" i="24" s="1"/>
  <c r="AC2039" i="24" s="1"/>
  <c r="AC2040" i="24" s="1"/>
  <c r="AC2041" i="24" s="1"/>
  <c r="AC2042" i="24" s="1"/>
  <c r="AC2043" i="24" s="1"/>
  <c r="AC2044" i="24" s="1"/>
  <c r="AC2045" i="24" s="1"/>
  <c r="AC2046" i="24" s="1"/>
  <c r="AC2047" i="24" s="1"/>
  <c r="AC2048" i="24" s="1"/>
  <c r="AC2049" i="24" s="1"/>
  <c r="AC2050" i="24" s="1"/>
  <c r="AC2051" i="24" s="1"/>
  <c r="AC2052" i="24" s="1"/>
  <c r="AC2053" i="24" s="1"/>
  <c r="AC2054" i="24" s="1"/>
  <c r="AC2055" i="24" s="1"/>
  <c r="AC2056" i="24" s="1"/>
  <c r="AC2057" i="24" s="1"/>
  <c r="AC2058" i="24" s="1"/>
  <c r="AC2059" i="24" s="1"/>
  <c r="AC2060" i="24" s="1"/>
  <c r="AC2061" i="24" s="1"/>
  <c r="AC2062" i="24" s="1"/>
  <c r="AC2063" i="24" s="1"/>
  <c r="AC2064" i="24" s="1"/>
  <c r="AC1385" i="10"/>
  <c r="AC2072" i="24" l="1"/>
  <c r="AC2073" i="24" s="1"/>
  <c r="AC2074" i="24" s="1"/>
  <c r="AC2075" i="24" s="1"/>
  <c r="AC2076" i="24" s="1"/>
  <c r="AC2077" i="24" s="1"/>
  <c r="AC2078" i="24" s="1"/>
  <c r="AC2079" i="24" s="1"/>
  <c r="AC2080" i="24" s="1"/>
  <c r="AC2081" i="24" s="1"/>
  <c r="AC2082" i="24" s="1"/>
  <c r="AC2083" i="24" s="1"/>
  <c r="AC2084" i="24" s="1"/>
  <c r="AC2085" i="24" s="1"/>
  <c r="AC2086" i="24" s="1"/>
  <c r="AC2087" i="24" s="1"/>
  <c r="AC2088" i="24" s="1"/>
  <c r="AC2089" i="24" s="1"/>
  <c r="AC2090" i="24" s="1"/>
  <c r="AC2091" i="24" s="1"/>
  <c r="AC2092" i="24" s="1"/>
  <c r="AC2096" i="24" s="1"/>
  <c r="AC2097" i="24" s="1"/>
  <c r="AC67" i="10"/>
  <c r="AC91" i="10" s="1"/>
  <c r="AC124" i="10" s="1"/>
  <c r="AC134" i="10" s="1"/>
  <c r="AC138" i="10" s="1"/>
  <c r="AC144" i="10" s="1"/>
  <c r="AC172" i="10" s="1"/>
  <c r="AC175" i="10" s="1"/>
  <c r="AC226" i="10" s="1"/>
  <c r="AC227" i="10" s="1"/>
  <c r="AC228" i="10" s="1"/>
  <c r="AC229" i="10" s="1"/>
  <c r="AC230" i="10" s="1"/>
  <c r="AC231" i="10" s="1"/>
  <c r="AC234" i="10" s="1"/>
  <c r="AC235" i="10" s="1"/>
  <c r="AC236" i="10" s="1"/>
  <c r="AC237" i="10" s="1"/>
  <c r="AC251" i="10" s="1"/>
  <c r="AC261" i="10" s="1"/>
  <c r="AC1386" i="10"/>
  <c r="AC287" i="10" l="1"/>
  <c r="AC350" i="10" s="1"/>
  <c r="AC369" i="10" s="1"/>
  <c r="AC378" i="10" s="1"/>
  <c r="AC379" i="10" s="1"/>
  <c r="AC380" i="10" s="1"/>
  <c r="AC381" i="10" s="1"/>
  <c r="AC382" i="10" s="1"/>
  <c r="AC383" i="10" s="1"/>
  <c r="AC384" i="10" s="1"/>
  <c r="AC385" i="10" s="1"/>
  <c r="AC386" i="10" s="1"/>
  <c r="AC387" i="10" s="1"/>
  <c r="AC388" i="10" s="1"/>
  <c r="AC389" i="10" s="1"/>
  <c r="AC390" i="10" s="1"/>
  <c r="AC391" i="10" s="1"/>
  <c r="AC392" i="10" s="1"/>
  <c r="AC393" i="10" s="1"/>
  <c r="AC394" i="10" s="1"/>
  <c r="AC395" i="10" s="1"/>
  <c r="AC396" i="10" s="1"/>
  <c r="AC397" i="10" s="1"/>
  <c r="AC398" i="10" s="1"/>
  <c r="AC399" i="10" s="1"/>
  <c r="AC400" i="10" s="1"/>
  <c r="AC401" i="10" s="1"/>
  <c r="AC402" i="10" s="1"/>
  <c r="AC403" i="10" s="1"/>
  <c r="AC404" i="10" s="1"/>
  <c r="AC405" i="10" s="1"/>
  <c r="AC406" i="10" s="1"/>
  <c r="AC407" i="10" s="1"/>
  <c r="AC408" i="10" s="1"/>
  <c r="AC409" i="10" s="1"/>
  <c r="AC410" i="10" s="1"/>
  <c r="AC411" i="10" s="1"/>
  <c r="AC412" i="10" s="1"/>
  <c r="AC413" i="10" s="1"/>
  <c r="AC414" i="10" s="1"/>
  <c r="AC415" i="10" s="1"/>
  <c r="AC416" i="10" s="1"/>
  <c r="AC417" i="10" s="1"/>
  <c r="AC418" i="10" s="1"/>
  <c r="AC419" i="10" s="1"/>
  <c r="AC420" i="10" s="1"/>
  <c r="AC421" i="10" s="1"/>
  <c r="AC422" i="10" s="1"/>
  <c r="AC423" i="10" s="1"/>
  <c r="AC424" i="10" s="1"/>
  <c r="AC459" i="10" s="1"/>
  <c r="AC467" i="10" s="1"/>
  <c r="AC485" i="10" s="1"/>
  <c r="AC505" i="10" s="1"/>
  <c r="AC544" i="10" s="1"/>
  <c r="AC547" i="10" s="1"/>
  <c r="AC548" i="10" s="1"/>
  <c r="AC549" i="10" s="1"/>
  <c r="AC567" i="10" s="1"/>
  <c r="AC579" i="10" s="1"/>
  <c r="AC623" i="10" s="1"/>
  <c r="AC643" i="10" s="1"/>
  <c r="AC656" i="10" s="1"/>
  <c r="AC657" i="10" s="1"/>
  <c r="AC659" i="10" s="1"/>
  <c r="AC660" i="10" s="1"/>
  <c r="AC662" i="10" s="1"/>
  <c r="AC663" i="10" s="1"/>
  <c r="AC666" i="10" s="1"/>
  <c r="AC671" i="10" s="1"/>
  <c r="AC683" i="10" s="1"/>
  <c r="AC684" i="10" s="1"/>
  <c r="AC685" i="10" s="1"/>
  <c r="AC688" i="10" s="1"/>
  <c r="AC704" i="10" s="1"/>
  <c r="AC705" i="10" s="1"/>
  <c r="AC744" i="10" s="1"/>
  <c r="AC775" i="10" s="1"/>
  <c r="AC786" i="10" s="1"/>
  <c r="AC789" i="10" s="1"/>
  <c r="AC792" i="10" s="1"/>
  <c r="AC799" i="10" s="1"/>
  <c r="AC811" i="10" s="1"/>
  <c r="AC820" i="10" s="1"/>
  <c r="AC821" i="10" s="1"/>
  <c r="AC861" i="10" s="1"/>
  <c r="AC953" i="10" s="1"/>
  <c r="AC969" i="10" s="1"/>
  <c r="AC983" i="10" s="1"/>
  <c r="AC992" i="10" s="1"/>
  <c r="AC995" i="10" s="1"/>
  <c r="AC1009" i="10" s="1"/>
  <c r="AC1015" i="10" s="1"/>
  <c r="AC1040" i="10" s="1"/>
  <c r="AC264" i="10"/>
  <c r="AC1053" i="10"/>
  <c r="AC1054" i="10" s="1"/>
  <c r="AC1055" i="10" s="1"/>
  <c r="AC1056" i="10" s="1"/>
  <c r="AC1057" i="10" s="1"/>
  <c r="AC1152" i="10" s="1"/>
  <c r="AC1156" i="10" s="1"/>
  <c r="AC1173" i="10" s="1"/>
  <c r="AC1188" i="10" s="1"/>
  <c r="AC1189" i="10" s="1"/>
  <c r="AC1223" i="10" s="1"/>
  <c r="AC1051" i="10"/>
  <c r="AC1237" i="10"/>
  <c r="AC1263" i="10" s="1"/>
  <c r="AC1264" i="10" s="1"/>
  <c r="AC1265" i="10" s="1"/>
  <c r="AC1266" i="10" s="1"/>
  <c r="AC1267" i="10" s="1"/>
  <c r="AC1271" i="10" s="1"/>
  <c r="AC1272" i="10" s="1"/>
  <c r="AC1273" i="10" s="1"/>
  <c r="AC1274" i="10" s="1"/>
  <c r="AC1275" i="10" s="1"/>
  <c r="AC1276" i="10" s="1"/>
  <c r="AC1277" i="10" s="1"/>
  <c r="AC1278" i="10" s="1"/>
  <c r="AC1279" i="10" s="1"/>
  <c r="AC1280" i="10" s="1"/>
  <c r="AC1315" i="10" s="1"/>
  <c r="AC1364" i="10" s="1"/>
  <c r="AC1365" i="10" s="1"/>
  <c r="AC2098" i="24"/>
  <c r="AC2099" i="24" s="1"/>
  <c r="AC2100" i="24" s="1"/>
  <c r="AC2101" i="24" s="1"/>
  <c r="AC2102" i="24" s="1"/>
  <c r="AC2103" i="24" s="1"/>
  <c r="AC2104" i="24" s="1"/>
  <c r="AC2105" i="24" s="1"/>
  <c r="AC2106" i="24" s="1"/>
  <c r="AC2107" i="24" s="1"/>
  <c r="AC2108" i="24" s="1"/>
  <c r="AC2109" i="24" s="1"/>
  <c r="AC2110" i="24" s="1"/>
  <c r="AC2116" i="24" s="1"/>
  <c r="AC2117" i="24" s="1"/>
  <c r="AC2118" i="24" s="1"/>
  <c r="AC2119" i="24" s="1"/>
  <c r="AC2120" i="24" s="1"/>
  <c r="AC2121" i="24" s="1"/>
  <c r="AC2132" i="24" s="1"/>
  <c r="AC2150" i="24" s="1"/>
  <c r="AC2151" i="24" s="1"/>
  <c r="AC2152" i="24" s="1"/>
  <c r="AC2153" i="24" s="1"/>
  <c r="AC2154" i="24" s="1"/>
  <c r="AC2155" i="24" s="1"/>
  <c r="AC2156" i="24" s="1"/>
  <c r="AC2157" i="24" s="1"/>
  <c r="AC2158" i="24" s="1"/>
  <c r="AC2159" i="24" s="1"/>
  <c r="AC2160" i="24" s="1"/>
  <c r="AC2161" i="24" s="1"/>
  <c r="AC2162" i="24" s="1"/>
  <c r="AC2163" i="24" s="1"/>
  <c r="AC2164" i="24" s="1"/>
  <c r="AC2165" i="24" s="1"/>
  <c r="AC2166" i="24" s="1"/>
  <c r="AC2167" i="24" s="1"/>
  <c r="AC2168" i="24" s="1"/>
  <c r="AC2169" i="24" s="1"/>
  <c r="AC2170" i="24" s="1"/>
  <c r="AC2197" i="24" s="1"/>
  <c r="AC2198" i="24" s="1"/>
  <c r="AC2199" i="24" s="1"/>
  <c r="AC2200" i="24" s="1"/>
  <c r="AC2201" i="24" s="1"/>
  <c r="AC2202" i="24" s="1"/>
  <c r="AC2203" i="24" s="1"/>
  <c r="AC2204" i="24" s="1"/>
  <c r="AC2205" i="24" s="1"/>
  <c r="AC2206" i="24" s="1"/>
  <c r="AC2207" i="24" s="1"/>
  <c r="AC2208" i="24" s="1"/>
  <c r="AC2209" i="24" s="1"/>
  <c r="AC2210" i="24" s="1"/>
  <c r="AC2211" i="24" s="1"/>
  <c r="AC2245" i="24" s="1"/>
  <c r="AC2246" i="24" s="1"/>
  <c r="AC2247" i="24" s="1"/>
  <c r="AC2248" i="24" s="1"/>
  <c r="AC2249" i="24" s="1"/>
  <c r="AC2250" i="24" s="1"/>
  <c r="AC2251" i="24" s="1"/>
  <c r="AC2252" i="24" s="1"/>
  <c r="AC2253" i="24" s="1"/>
  <c r="AC2254" i="24" s="1"/>
  <c r="AC2255" i="24" s="1"/>
  <c r="AC2256" i="24" s="1"/>
  <c r="AC2257" i="24" s="1"/>
  <c r="AC2258" i="24" s="1"/>
  <c r="AC2259" i="24" s="1"/>
  <c r="AC2260" i="24" s="1"/>
  <c r="AC2261" i="24" s="1"/>
  <c r="AC2262" i="24" s="1"/>
  <c r="AC2263" i="24" s="1"/>
  <c r="AC2264" i="24" s="1"/>
  <c r="AC2265" i="24" s="1"/>
  <c r="AC2266" i="24" s="1"/>
  <c r="AC2267" i="24" s="1"/>
  <c r="AC2268" i="24" s="1"/>
  <c r="AC2269" i="24" s="1"/>
  <c r="AC2270" i="24" s="1"/>
  <c r="AC2271" i="24" s="1"/>
  <c r="AC2272" i="24" s="1"/>
  <c r="AC2273" i="24" s="1"/>
  <c r="AC2274" i="24" s="1"/>
  <c r="AC2275" i="24" s="1"/>
  <c r="AC2276" i="24" s="1"/>
  <c r="AC2277" i="24" s="1"/>
  <c r="AC2278" i="24" s="1"/>
  <c r="AC2279" i="24" s="1"/>
  <c r="AC2280" i="24" s="1"/>
  <c r="AC2281" i="24" s="1"/>
  <c r="AC2282" i="24" s="1"/>
  <c r="AC2283" i="24" s="1"/>
  <c r="AC2284" i="24" s="1"/>
  <c r="AC2285" i="24" s="1"/>
  <c r="AC2286" i="24" s="1"/>
  <c r="AC2287" i="24" s="1"/>
  <c r="AC2288" i="24" s="1"/>
  <c r="AC2289" i="24" s="1"/>
  <c r="AC2290" i="24" s="1"/>
  <c r="AC2291" i="24" s="1"/>
  <c r="AC2292" i="24" s="1"/>
  <c r="AC2333" i="24" s="1"/>
  <c r="AC2334" i="24" s="1"/>
  <c r="AC2335" i="24" s="1"/>
  <c r="AC2336" i="24" s="1"/>
  <c r="AC2337" i="24" s="1"/>
  <c r="AC2338" i="24" s="1"/>
  <c r="AC2339" i="24" s="1"/>
  <c r="AC2341" i="24" s="1"/>
  <c r="AC2342" i="24" s="1"/>
  <c r="AC2343" i="24" s="1"/>
  <c r="AC2344" i="24" s="1"/>
  <c r="AC2345" i="24" s="1"/>
  <c r="AC2346" i="24" s="1"/>
  <c r="AC2347" i="24" s="1"/>
  <c r="AC2348" i="24" s="1"/>
  <c r="AC2349" i="24" s="1"/>
  <c r="AC2350" i="24" s="1"/>
  <c r="AC2351" i="24" s="1"/>
  <c r="AC2352" i="24" s="1"/>
  <c r="AC2353" i="24" s="1"/>
  <c r="AC2354" i="24" s="1"/>
  <c r="AC2355" i="24" s="1"/>
  <c r="AC2356" i="24" s="1"/>
  <c r="AC2357" i="24" s="1"/>
  <c r="AC2358" i="24" s="1"/>
  <c r="AC2359" i="24" s="1"/>
  <c r="AC2360" i="24" s="1"/>
  <c r="AC2361" i="24" s="1"/>
  <c r="AC2362" i="24" s="1"/>
  <c r="AC2363" i="24" s="1"/>
  <c r="AC2364" i="24" s="1"/>
  <c r="AC2365" i="24" s="1"/>
  <c r="AC2366" i="24" s="1"/>
  <c r="AC2367" i="24" s="1"/>
  <c r="AC2368" i="24" s="1"/>
  <c r="AC2369" i="24" s="1"/>
  <c r="AC2370" i="24" s="1"/>
  <c r="AC2371" i="24" s="1"/>
  <c r="AC2372" i="24" s="1"/>
  <c r="AC2373" i="24" s="1"/>
  <c r="AC2374" i="24" s="1"/>
  <c r="AC2375" i="24" s="1"/>
  <c r="AC2376" i="24" s="1"/>
  <c r="AC2377" i="24" s="1"/>
  <c r="AC2378" i="24" s="1"/>
  <c r="AC2379" i="24" s="1"/>
  <c r="AC2380" i="24" s="1"/>
  <c r="AC2381" i="24" s="1"/>
  <c r="AC2382" i="24" s="1"/>
  <c r="AC2383" i="24" s="1"/>
  <c r="AC2384" i="24" s="1"/>
  <c r="AC2385" i="24" s="1"/>
  <c r="AC2386" i="24" s="1"/>
  <c r="AC2387" i="24" s="1"/>
  <c r="AC2388" i="24" s="1"/>
  <c r="AC2389" i="24" s="1"/>
  <c r="AC2390" i="24" s="1"/>
  <c r="AC2391" i="24" s="1"/>
  <c r="AC2392" i="24" s="1"/>
  <c r="AC2393" i="24" s="1"/>
  <c r="AC2394" i="24" s="1"/>
  <c r="AC2395" i="24" s="1"/>
  <c r="AC2396" i="24" s="1"/>
  <c r="AC2397" i="24" s="1"/>
  <c r="AC2398" i="24" s="1"/>
  <c r="AC2399" i="24" s="1"/>
  <c r="AC2400" i="24" s="1"/>
  <c r="AC2401" i="24" s="1"/>
  <c r="AC2402" i="24" s="1"/>
  <c r="AC2403" i="24" s="1"/>
  <c r="AC2404" i="24" s="1"/>
  <c r="AC2405" i="24" s="1"/>
  <c r="AC2406" i="24" s="1"/>
  <c r="AC2407" i="24" s="1"/>
  <c r="AC2408" i="24" s="1"/>
  <c r="AC2409" i="24" s="1"/>
  <c r="AC2410" i="24" s="1"/>
  <c r="AC2411" i="24" s="1"/>
  <c r="AC2412" i="24" s="1"/>
  <c r="AC2413" i="24" s="1"/>
  <c r="AC2414" i="24" s="1"/>
  <c r="AC2415" i="24" s="1"/>
  <c r="AC2416" i="24" s="1"/>
  <c r="AC2417" i="24" s="1"/>
  <c r="AC2418" i="24" s="1"/>
  <c r="AC2419" i="24" s="1"/>
  <c r="AC2420" i="24" s="1"/>
  <c r="AC2421" i="24" s="1"/>
  <c r="AC2422" i="24" s="1"/>
  <c r="AC2423" i="24" s="1"/>
  <c r="AC2424" i="24" s="1"/>
  <c r="AC2425" i="24" s="1"/>
  <c r="AC2426" i="24" s="1"/>
  <c r="AC2427" i="24" s="1"/>
  <c r="AC2428" i="24" s="1"/>
  <c r="AC2429" i="24" s="1"/>
  <c r="AC2430" i="24" s="1"/>
  <c r="AC2431" i="24" s="1"/>
  <c r="AC2432" i="24" s="1"/>
  <c r="AC2433" i="24" s="1"/>
  <c r="AC2434" i="24" s="1"/>
  <c r="AC2435" i="24" s="1"/>
  <c r="AC2436" i="24" s="1"/>
  <c r="AC2437" i="24" s="1"/>
  <c r="AC2438" i="24" s="1"/>
  <c r="AC2439" i="24" s="1"/>
  <c r="AC2440" i="24" s="1"/>
  <c r="AC2441" i="24" s="1"/>
  <c r="AC2442" i="24" s="1"/>
  <c r="AC2443" i="24" s="1"/>
  <c r="AC2444" i="24" s="1"/>
  <c r="AC2445" i="24" s="1"/>
  <c r="AC2446" i="24" s="1"/>
  <c r="AC2447" i="24" s="1"/>
  <c r="AC2448" i="24" s="1"/>
  <c r="AC2449" i="24" s="1"/>
  <c r="AC2450" i="24" s="1"/>
  <c r="AC2451" i="24" s="1"/>
  <c r="AC2452" i="24" s="1"/>
  <c r="AC2453" i="24" s="1"/>
  <c r="AC2454" i="24" s="1"/>
  <c r="AC2455" i="24" s="1"/>
  <c r="AC2456" i="24" s="1"/>
  <c r="AC2457" i="24" s="1"/>
  <c r="AC2458" i="24" s="1"/>
  <c r="AC2459" i="24" s="1"/>
  <c r="AC2460" i="24" s="1"/>
  <c r="AC2461" i="24" s="1"/>
  <c r="AC2462" i="24" s="1"/>
  <c r="AC2463" i="24" s="1"/>
  <c r="AC2464" i="24" s="1"/>
  <c r="AC2465" i="24" s="1"/>
  <c r="AC2466" i="24" s="1"/>
  <c r="AC2481" i="24" s="1"/>
  <c r="AC2482" i="24" s="1"/>
  <c r="AC2483" i="24" s="1"/>
  <c r="AC2484" i="24" s="1"/>
  <c r="AC2485" i="24" s="1"/>
  <c r="AC2486" i="24" s="1"/>
  <c r="AC2487" i="24" s="1"/>
  <c r="AC2488" i="24" s="1"/>
  <c r="AC2489" i="24" s="1"/>
  <c r="AC2490" i="24" s="1"/>
  <c r="AC2491" i="24" s="1"/>
  <c r="AC2492" i="24" s="1"/>
  <c r="AC2493" i="24" s="1"/>
  <c r="AC2494" i="24" s="1"/>
  <c r="AC2495" i="24" s="1"/>
  <c r="AC2496" i="24" s="1"/>
  <c r="AC2497" i="24" s="1"/>
  <c r="AC2498" i="24" s="1"/>
  <c r="AC2499" i="24" s="1"/>
  <c r="AC2500" i="24" s="1"/>
  <c r="AC2501" i="24" s="1"/>
  <c r="AC2502" i="24" s="1"/>
  <c r="AC2503" i="24" s="1"/>
  <c r="AC2504" i="24" s="1"/>
  <c r="AC2505" i="24" s="1"/>
  <c r="AC2506" i="24" s="1"/>
  <c r="AC2507" i="24" s="1"/>
  <c r="AC2508" i="24" s="1"/>
  <c r="AC2509" i="24" s="1"/>
  <c r="AC2510" i="24" s="1"/>
  <c r="AC2511" i="24" s="1"/>
  <c r="AC2512" i="24" s="1"/>
  <c r="AC2513" i="24" s="1"/>
  <c r="AC2514" i="24" s="1"/>
  <c r="AC2515" i="24" s="1"/>
  <c r="AC2516" i="24" s="1"/>
  <c r="AC2517" i="24" s="1"/>
  <c r="AC2518" i="24" s="1"/>
  <c r="AC2519" i="24" s="1"/>
  <c r="AC2520" i="24" s="1"/>
  <c r="AC2521" i="24" s="1"/>
  <c r="AC2522" i="24" s="1"/>
  <c r="AC2523" i="24" s="1"/>
  <c r="AC2524" i="24" s="1"/>
  <c r="AC2525" i="24" s="1"/>
  <c r="AC2526" i="24" s="1"/>
  <c r="AC2527" i="24" s="1"/>
  <c r="AC2528" i="24" s="1"/>
  <c r="AC2529" i="24" s="1"/>
  <c r="AC2530" i="24" s="1"/>
  <c r="AC2531" i="24" s="1"/>
  <c r="AC2532" i="24" s="1"/>
  <c r="AC2533" i="24" s="1"/>
  <c r="AC2534" i="24" s="1"/>
  <c r="AC2535" i="24" s="1"/>
  <c r="AC2536" i="24" s="1"/>
  <c r="AC2537" i="24" s="1"/>
  <c r="AC2538" i="24" s="1"/>
  <c r="AC2539" i="24" s="1"/>
  <c r="AC2540" i="24" s="1"/>
  <c r="AC2541" i="24" s="1"/>
  <c r="AC2542" i="24" s="1"/>
  <c r="AC2543" i="24" s="1"/>
  <c r="AC2544" i="24" s="1"/>
  <c r="AC2545" i="24" s="1"/>
  <c r="AC2546" i="24" s="1"/>
  <c r="AC2547" i="24" s="1"/>
  <c r="AC2548" i="24" s="1"/>
  <c r="AC2549" i="24" s="1"/>
  <c r="AC2550" i="24" s="1"/>
  <c r="AC2551" i="24" s="1"/>
  <c r="AC2552" i="24" s="1"/>
  <c r="AC2553" i="24" s="1"/>
  <c r="AC2554" i="24" s="1"/>
  <c r="AC2555" i="24" s="1"/>
  <c r="AC2556" i="24" s="1"/>
  <c r="AC2557" i="24" s="1"/>
  <c r="AC2558" i="24" s="1"/>
  <c r="AC2559" i="24" s="1"/>
  <c r="AC2560" i="24" s="1"/>
  <c r="AC2561" i="24" s="1"/>
  <c r="AC2562" i="24" s="1"/>
  <c r="AC2563" i="24" s="1"/>
  <c r="AC2564" i="24" s="1"/>
  <c r="AC2593" i="24" s="1"/>
  <c r="AC2594" i="24" s="1"/>
  <c r="AC2595" i="24" s="1"/>
  <c r="AC2596" i="24" s="1"/>
  <c r="AC2597" i="24" s="1"/>
  <c r="AC2598" i="24" s="1"/>
  <c r="AC2599" i="24" s="1"/>
  <c r="AC2600" i="24" s="1"/>
  <c r="AC2601" i="24" s="1"/>
  <c r="AC2602" i="24" s="1"/>
  <c r="AC2603" i="24" s="1"/>
  <c r="AC2604" i="24" s="1"/>
  <c r="AC2605" i="24" s="1"/>
  <c r="AC2606" i="24" s="1"/>
  <c r="AC2607" i="24" s="1"/>
  <c r="AC2608" i="24" s="1"/>
  <c r="AC2609" i="24" s="1"/>
  <c r="AC2610" i="24" s="1"/>
  <c r="AC2611" i="24" s="1"/>
  <c r="AC2612" i="24" s="1"/>
  <c r="AC2613" i="24" s="1"/>
  <c r="AC2614" i="24" s="1"/>
  <c r="AC2615" i="24" s="1"/>
  <c r="AC2616" i="24" s="1"/>
  <c r="AC2617" i="24" s="1"/>
  <c r="AC2618" i="24" s="1"/>
  <c r="AC2619" i="24" s="1"/>
  <c r="AC2620" i="24" s="1"/>
  <c r="AC2621" i="24" s="1"/>
  <c r="AC2622" i="24" s="1"/>
  <c r="AC2623" i="24" s="1"/>
  <c r="AC2626" i="24" s="1"/>
  <c r="AC2627" i="24" s="1"/>
  <c r="AC2628" i="24" s="1"/>
  <c r="AC2629" i="24" s="1"/>
  <c r="AC2630" i="24" s="1"/>
  <c r="AC2631" i="24" s="1"/>
  <c r="AC2632" i="24" s="1"/>
  <c r="AC2633" i="24" s="1"/>
  <c r="AC2634" i="24" s="1"/>
  <c r="AC2635" i="24" s="1"/>
  <c r="AC2636" i="24" s="1"/>
  <c r="AC2637" i="24" s="1"/>
  <c r="AC2638" i="24" s="1"/>
  <c r="AC2639" i="24" s="1"/>
  <c r="AC2640" i="24" s="1"/>
  <c r="AC2641" i="24" s="1"/>
  <c r="AC2642" i="24" s="1"/>
  <c r="AC2643" i="24" s="1"/>
  <c r="AC2644" i="24" s="1"/>
  <c r="AC2645" i="24" s="1"/>
  <c r="AC2646" i="24" s="1"/>
  <c r="AC2647" i="24" s="1"/>
  <c r="AC2648" i="24" s="1"/>
  <c r="AC2649" i="24" s="1"/>
  <c r="AC2650" i="24" s="1"/>
  <c r="AC2658" i="24" s="1"/>
  <c r="AC2659" i="24" s="1"/>
  <c r="AC2660" i="24" s="1"/>
  <c r="AC2661" i="24" s="1"/>
  <c r="AC2662" i="24" s="1"/>
  <c r="AC2663" i="24" s="1"/>
  <c r="AC2664" i="24" s="1"/>
  <c r="AC2665" i="24" s="1"/>
  <c r="AC2666" i="24" s="1"/>
  <c r="AC2667" i="24" s="1"/>
  <c r="AC2668" i="24" s="1"/>
  <c r="AC2669" i="24" s="1"/>
  <c r="AC2670" i="24" s="1"/>
  <c r="AC2671" i="24" s="1"/>
  <c r="AC2672" i="24" s="1"/>
  <c r="AC2673" i="24" s="1"/>
  <c r="AC2674" i="24" s="1"/>
  <c r="AC2675" i="24" s="1"/>
  <c r="AC2676" i="24" s="1"/>
  <c r="AC2677" i="24" s="1"/>
  <c r="AC2678" i="24" s="1"/>
  <c r="AC2679" i="24" s="1"/>
  <c r="AC2680" i="24" s="1"/>
  <c r="AC2681" i="24" s="1"/>
  <c r="AC2682" i="24" s="1"/>
  <c r="AC2683" i="24" s="1"/>
  <c r="AC2684" i="24" s="1"/>
  <c r="AC2685" i="24" s="1"/>
  <c r="AC2686" i="24" s="1"/>
  <c r="AC2687" i="24" s="1"/>
  <c r="AC2688" i="24" s="1"/>
  <c r="AC2689" i="24" s="1"/>
  <c r="AC2690" i="24" s="1"/>
  <c r="AC2691" i="24" s="1"/>
  <c r="AC2692" i="24" s="1"/>
  <c r="AC2693" i="24" s="1"/>
  <c r="AC2694" i="24" s="1"/>
  <c r="AC2695" i="24" s="1"/>
  <c r="AC2696" i="24" s="1"/>
  <c r="AC2697" i="24" s="1"/>
  <c r="AC2698" i="24" s="1"/>
  <c r="AC2699" i="24" s="1"/>
  <c r="AC2700" i="24" s="1"/>
  <c r="AC2701" i="24" s="1"/>
  <c r="AC2702" i="24" s="1"/>
  <c r="AC2703" i="24" s="1"/>
  <c r="AC2704" i="24" s="1"/>
  <c r="AC2705" i="24" s="1"/>
  <c r="AC2706" i="24" s="1"/>
  <c r="AC2707" i="24" s="1"/>
  <c r="AC2708" i="24" s="1"/>
  <c r="AC2709" i="24" s="1"/>
  <c r="AC2710" i="24" s="1"/>
  <c r="AC2711" i="24" s="1"/>
  <c r="AC2712" i="24" s="1"/>
  <c r="AC2713" i="24" s="1"/>
  <c r="AC2714" i="24" s="1"/>
  <c r="AC2715" i="24" s="1"/>
  <c r="AC2716" i="24" s="1"/>
  <c r="AC2717" i="24" s="1"/>
  <c r="AC2718" i="24" s="1"/>
  <c r="AC2719" i="24" s="1"/>
  <c r="AC2720" i="24" s="1"/>
  <c r="AC2721" i="24" s="1"/>
  <c r="AC2722" i="24" s="1"/>
  <c r="AC2723" i="24" s="1"/>
  <c r="AC2724" i="24" s="1"/>
  <c r="AC2725" i="24" s="1"/>
  <c r="AC2726" i="24" s="1"/>
  <c r="AC2727" i="24" s="1"/>
  <c r="AC2728" i="24" s="1"/>
  <c r="AC2729" i="24" s="1"/>
  <c r="AC2730" i="24" s="1"/>
  <c r="AC2731" i="24" s="1"/>
  <c r="AC2732" i="24" s="1"/>
  <c r="AC2733" i="24" s="1"/>
  <c r="AC2734" i="24" s="1"/>
  <c r="AC2735" i="24" s="1"/>
  <c r="AC2736" i="24" s="1"/>
  <c r="AC2737" i="24" s="1"/>
  <c r="AC2738" i="24" s="1"/>
  <c r="AC2739" i="24" s="1"/>
  <c r="AC2740" i="24" s="1"/>
  <c r="AC2741" i="24" s="1"/>
  <c r="AC2742" i="24" s="1"/>
  <c r="AC2743" i="24" s="1"/>
  <c r="AC2744" i="24" s="1"/>
  <c r="AC2745" i="24" s="1"/>
  <c r="AC2746" i="24" s="1"/>
  <c r="AC2747" i="24" s="1"/>
  <c r="AC2748" i="24" s="1"/>
  <c r="AC2749" i="24" s="1"/>
  <c r="AC2750" i="24" s="1"/>
  <c r="AC2751" i="24" s="1"/>
  <c r="AC2752" i="24" s="1"/>
  <c r="AC2753" i="24" s="1"/>
  <c r="AC2754" i="24" s="1"/>
  <c r="AC2755" i="24" s="1"/>
  <c r="AC2756" i="24" s="1"/>
  <c r="AC2757" i="24" s="1"/>
  <c r="AC2758" i="24" s="1"/>
  <c r="AC2759" i="24" s="1"/>
  <c r="AC2760" i="24" s="1"/>
  <c r="AC2761" i="24" s="1"/>
  <c r="AC2762" i="24" s="1"/>
  <c r="AC2763" i="24" s="1"/>
  <c r="AC2764" i="24" s="1"/>
  <c r="AC2765" i="24" s="1"/>
  <c r="AC2766" i="24" s="1"/>
  <c r="AC2767" i="24" s="1"/>
  <c r="AC2768" i="24" s="1"/>
  <c r="AC2769" i="24" s="1"/>
  <c r="AC2770" i="24" s="1"/>
  <c r="AC2771" i="24" s="1"/>
  <c r="AC2772" i="24" s="1"/>
  <c r="AC2773" i="24" s="1"/>
  <c r="AC2774" i="24" s="1"/>
  <c r="AC2775" i="24" s="1"/>
  <c r="AC2776" i="24" s="1"/>
  <c r="AC2777" i="24" s="1"/>
  <c r="AC2778" i="24" s="1"/>
  <c r="AC2779" i="24" s="1"/>
  <c r="AC2780" i="24" s="1"/>
  <c r="AC2781" i="24" s="1"/>
  <c r="AC2782" i="24" s="1"/>
  <c r="AC2783" i="24" s="1"/>
  <c r="AC2784" i="24" s="1"/>
  <c r="AC2785" i="24" s="1"/>
  <c r="AC2786" i="24" s="1"/>
  <c r="AC2787" i="24" s="1"/>
  <c r="AC2788" i="24" s="1"/>
  <c r="AC2789" i="24" s="1"/>
  <c r="AC2790" i="24" s="1"/>
  <c r="AC2791" i="24" s="1"/>
  <c r="AC2792" i="24" s="1"/>
  <c r="AC2793" i="24" s="1"/>
  <c r="AC2794" i="24" s="1"/>
  <c r="AC2795" i="24" s="1"/>
  <c r="AC2796" i="24" s="1"/>
  <c r="AC2797" i="24" s="1"/>
  <c r="AC2798" i="24" s="1"/>
  <c r="AC2799" i="24" s="1"/>
  <c r="AC2800" i="24" s="1"/>
  <c r="AC1387" i="10"/>
  <c r="AF47" i="24" l="1"/>
  <c r="AF127" i="24"/>
  <c r="AF30" i="24"/>
  <c r="AF34" i="24"/>
  <c r="AF163" i="24"/>
  <c r="AF145" i="24"/>
  <c r="AF53" i="24"/>
  <c r="AF76" i="24"/>
  <c r="AF70" i="24"/>
  <c r="AF184" i="24"/>
  <c r="AF135" i="24"/>
  <c r="AF208" i="24"/>
  <c r="AF140" i="24"/>
  <c r="AF14" i="24"/>
  <c r="AF186" i="24"/>
  <c r="AF68" i="24"/>
  <c r="AF7" i="24"/>
  <c r="AF201" i="24"/>
  <c r="AF200" i="24"/>
  <c r="AF207" i="24"/>
  <c r="AF147" i="24"/>
  <c r="AF81" i="24"/>
  <c r="AF17" i="24"/>
  <c r="AF128" i="24"/>
  <c r="AF95" i="24"/>
  <c r="AF189" i="24"/>
  <c r="AF154" i="24"/>
  <c r="AF129" i="24"/>
  <c r="AF36" i="24"/>
  <c r="AF212" i="24"/>
  <c r="AF44" i="24"/>
  <c r="AF162" i="24"/>
  <c r="AF176" i="24"/>
  <c r="AF180" i="24"/>
  <c r="AF88" i="24"/>
  <c r="AF214" i="24"/>
  <c r="AF153" i="24"/>
  <c r="AF125" i="24"/>
  <c r="AF193" i="24"/>
  <c r="AF97" i="24"/>
  <c r="AF87" i="24"/>
  <c r="AF114" i="24"/>
  <c r="AF9" i="24"/>
  <c r="AF18" i="24"/>
  <c r="AF191" i="24"/>
  <c r="AF113" i="24"/>
  <c r="AF161" i="24"/>
  <c r="AF28" i="24"/>
  <c r="AF143" i="24"/>
  <c r="AF10" i="24"/>
  <c r="AF194" i="24"/>
  <c r="AF55" i="24"/>
  <c r="AF35" i="24"/>
  <c r="AF167" i="24"/>
  <c r="AF60" i="24"/>
  <c r="AF26" i="24"/>
  <c r="AF215" i="24"/>
  <c r="AF58" i="24"/>
  <c r="AF69" i="24"/>
  <c r="AF8" i="24"/>
  <c r="AF164" i="24"/>
  <c r="AF166" i="24"/>
  <c r="AF124" i="24"/>
  <c r="AF159" i="24"/>
  <c r="AF155" i="24"/>
  <c r="AF82" i="24"/>
  <c r="AF42" i="24"/>
  <c r="AF52" i="24"/>
  <c r="AF31" i="24"/>
  <c r="AF91" i="24"/>
  <c r="AF65" i="24"/>
  <c r="AF38" i="24"/>
  <c r="AF49" i="24"/>
  <c r="AF90" i="24"/>
  <c r="AF20" i="24"/>
  <c r="AF202" i="24"/>
  <c r="AF63" i="24"/>
  <c r="AF23" i="24"/>
  <c r="AF173" i="24"/>
  <c r="AF16" i="24"/>
  <c r="AF112" i="24"/>
  <c r="AF209" i="24"/>
  <c r="AF136" i="24"/>
  <c r="AF175" i="24"/>
  <c r="AF210" i="24"/>
  <c r="AF32" i="24"/>
  <c r="AF24" i="24"/>
  <c r="AF92" i="24"/>
  <c r="AF205" i="24"/>
  <c r="AF169" i="24"/>
  <c r="AF134" i="24"/>
  <c r="AF98" i="24"/>
  <c r="AF100" i="24"/>
  <c r="AF203" i="24"/>
  <c r="AF83" i="24"/>
  <c r="AF138" i="24"/>
  <c r="AF105" i="24"/>
  <c r="AF43" i="24"/>
  <c r="AF75" i="24"/>
  <c r="AF190" i="24"/>
  <c r="AF170" i="24"/>
  <c r="AF151" i="24"/>
  <c r="AF85" i="24"/>
  <c r="AF61" i="24"/>
  <c r="AF196" i="24"/>
  <c r="AF157" i="24"/>
  <c r="AF178" i="24"/>
  <c r="AF5" i="24"/>
  <c r="AF29" i="24"/>
  <c r="AF192" i="24"/>
  <c r="AF120" i="24"/>
  <c r="AF179" i="24"/>
  <c r="AF156" i="24"/>
  <c r="AF102" i="24"/>
  <c r="AF117" i="24"/>
  <c r="AF197" i="24"/>
  <c r="AF187" i="24"/>
  <c r="AF73" i="24"/>
  <c r="AF141" i="24"/>
  <c r="AF15" i="24"/>
  <c r="AF37" i="24"/>
  <c r="AF198" i="24"/>
  <c r="AF132" i="24"/>
  <c r="AF211" i="24"/>
  <c r="AF130" i="24"/>
  <c r="AF103" i="24"/>
  <c r="AF149" i="24"/>
  <c r="AF165" i="24"/>
  <c r="AF152" i="24"/>
  <c r="AF54" i="24"/>
  <c r="AF181" i="24"/>
  <c r="AF40" i="24"/>
  <c r="AF213" i="24"/>
  <c r="AF110" i="24"/>
  <c r="AF33" i="24"/>
  <c r="AF146" i="24"/>
  <c r="AF206" i="24"/>
  <c r="AF89" i="24"/>
  <c r="AF150" i="24"/>
  <c r="AF45" i="24"/>
  <c r="AF21" i="24"/>
  <c r="AF109" i="24"/>
  <c r="AF71" i="24"/>
  <c r="AF172" i="24"/>
  <c r="AF108" i="24"/>
  <c r="AF182" i="24"/>
  <c r="AF188" i="24"/>
  <c r="AF104" i="24"/>
  <c r="AF137" i="24"/>
  <c r="AF195" i="24"/>
  <c r="AF177" i="24"/>
  <c r="AF80" i="24"/>
  <c r="AF171" i="24"/>
  <c r="AF160" i="24"/>
  <c r="AF67" i="24"/>
  <c r="AF139" i="24"/>
  <c r="AF185" i="24"/>
  <c r="AF133" i="24"/>
  <c r="AF51" i="24"/>
  <c r="AF106" i="24"/>
  <c r="AE6" i="24"/>
  <c r="AF25" i="24"/>
  <c r="AF204" i="24"/>
  <c r="AF119" i="24"/>
  <c r="AF84" i="24"/>
  <c r="AF72" i="24"/>
  <c r="AF123" i="24"/>
  <c r="AF116" i="24"/>
  <c r="AF66" i="24"/>
  <c r="AF57" i="24"/>
  <c r="AF77" i="24"/>
  <c r="AF27" i="24"/>
  <c r="AF144" i="24"/>
  <c r="AF121" i="24"/>
  <c r="AF199" i="24"/>
  <c r="AF158" i="24"/>
  <c r="AF118" i="24"/>
  <c r="AF174" i="24"/>
  <c r="AF142" i="24"/>
  <c r="AF46" i="24"/>
  <c r="AF126" i="24"/>
  <c r="AF50" i="24"/>
  <c r="AF64" i="24"/>
  <c r="AF12" i="24"/>
  <c r="AF122" i="24"/>
  <c r="AF99" i="24"/>
  <c r="AF111" i="24"/>
  <c r="AF13" i="24"/>
  <c r="AF168" i="24"/>
  <c r="AF107" i="24"/>
  <c r="AF74" i="24"/>
  <c r="AF94" i="24"/>
  <c r="AF79" i="24"/>
  <c r="AF183" i="24"/>
  <c r="AF19" i="24"/>
  <c r="AF59" i="24"/>
  <c r="AF96" i="24"/>
  <c r="AF39" i="24"/>
  <c r="AF62" i="24"/>
  <c r="AF115" i="24"/>
  <c r="AF148" i="24"/>
  <c r="AF78" i="24"/>
  <c r="AF216" i="24"/>
  <c r="AF217" i="24"/>
  <c r="AC1395" i="10"/>
  <c r="AC1413" i="10" s="1"/>
  <c r="AC1425" i="10" s="1"/>
  <c r="AC1459" i="10" s="1"/>
  <c r="AC1460" i="10" s="1"/>
  <c r="AC1468" i="10" s="1"/>
  <c r="AC1469" i="10" s="1"/>
  <c r="AC1470" i="10" s="1"/>
  <c r="AC1471" i="10" s="1"/>
  <c r="AC1472" i="10" s="1"/>
  <c r="AC1473" i="10" s="1"/>
  <c r="AC1506" i="10" s="1"/>
  <c r="AC1512" i="10" s="1"/>
  <c r="AC1518" i="10" s="1"/>
  <c r="AC1521" i="10" s="1"/>
  <c r="AC1528" i="10" s="1"/>
  <c r="AC1532" i="10" s="1"/>
  <c r="AC1536" i="10" s="1"/>
  <c r="AC1541" i="10" s="1"/>
  <c r="AC1542" i="10" s="1"/>
  <c r="AC1569" i="10" s="1"/>
  <c r="AC1570" i="10" s="1"/>
  <c r="AC1575" i="10" s="1"/>
  <c r="AC1589" i="10" s="1"/>
  <c r="AC1593" i="10" s="1"/>
  <c r="AC1617" i="10" s="1"/>
  <c r="AC1631" i="10" s="1"/>
  <c r="AC1643" i="10" s="1"/>
  <c r="AC1648" i="10" s="1"/>
  <c r="AC1658" i="10" s="1"/>
  <c r="AC1663" i="10" s="1"/>
  <c r="AF4" i="24"/>
  <c r="AF1604" i="24"/>
  <c r="AF827" i="24"/>
  <c r="AF451" i="24"/>
  <c r="AF1447" i="24"/>
  <c r="AF1429" i="24"/>
  <c r="AF867" i="24"/>
  <c r="AF755" i="24"/>
  <c r="AF1233" i="24"/>
  <c r="AF803" i="24"/>
  <c r="AF1285" i="24"/>
  <c r="AF1738" i="24"/>
  <c r="AF1458" i="24"/>
  <c r="AF588" i="24"/>
  <c r="AF573" i="24"/>
  <c r="AF366" i="24"/>
  <c r="AF1606" i="24"/>
  <c r="AF309" i="24"/>
  <c r="AF253" i="24"/>
  <c r="AF701" i="24"/>
  <c r="AF1779" i="24"/>
  <c r="AF316" i="24"/>
  <c r="AF721" i="24"/>
  <c r="AF1715" i="24"/>
  <c r="AF658" i="24"/>
  <c r="AF1249" i="24"/>
  <c r="AF524" i="24"/>
  <c r="AF898" i="24"/>
  <c r="AF1056" i="24"/>
  <c r="AF761" i="24"/>
  <c r="AF1388" i="24"/>
  <c r="AF1252" i="24"/>
  <c r="AF964" i="24"/>
  <c r="AF1344" i="24"/>
  <c r="AF1100" i="24"/>
  <c r="AF1838" i="24"/>
  <c r="AF1704" i="24"/>
  <c r="AF576" i="24"/>
  <c r="AF620" i="24"/>
  <c r="AF515" i="24"/>
  <c r="AF1339" i="24"/>
  <c r="AF932" i="24"/>
  <c r="AF1493" i="24"/>
  <c r="AF1698" i="24"/>
  <c r="AF418" i="24"/>
  <c r="AF236" i="24"/>
  <c r="AF1175" i="24"/>
  <c r="AF1855" i="24"/>
  <c r="AF718" i="24"/>
  <c r="AF545" i="24"/>
  <c r="AF1383" i="24"/>
  <c r="AF473" i="24"/>
  <c r="AF1910" i="24"/>
  <c r="AF2124" i="24"/>
  <c r="AF2302" i="24"/>
  <c r="AF861" i="24"/>
  <c r="AF1443" i="24"/>
  <c r="AF651" i="24"/>
  <c r="AF2731" i="24"/>
  <c r="AF1133" i="24"/>
  <c r="AF887" i="24"/>
  <c r="AF2088" i="24"/>
  <c r="AF2359" i="24"/>
  <c r="AF961" i="24"/>
  <c r="AF2376" i="24"/>
  <c r="AF537" i="24"/>
  <c r="AF1942" i="24"/>
  <c r="AF960" i="24"/>
  <c r="AF1390" i="24"/>
  <c r="AF2408" i="24"/>
  <c r="AF1444" i="24"/>
  <c r="AF1804" i="24"/>
  <c r="AF2193" i="24"/>
  <c r="AF2126" i="24"/>
  <c r="AF995" i="24"/>
  <c r="AF1532" i="24"/>
  <c r="AF2599" i="24"/>
  <c r="AF439" i="24"/>
  <c r="AF1016" i="24"/>
  <c r="AF1288" i="24"/>
  <c r="AF2384" i="24"/>
  <c r="AF910" i="24"/>
  <c r="AF1317" i="24"/>
  <c r="AF675" i="24"/>
  <c r="AF2409" i="24"/>
  <c r="AF1921" i="24"/>
  <c r="AF1191" i="24"/>
  <c r="AF1507" i="24"/>
  <c r="AF2523" i="24"/>
  <c r="AF1063" i="24"/>
  <c r="AF2572" i="24"/>
  <c r="AF1666" i="24"/>
  <c r="AF2018" i="24"/>
  <c r="AF873" i="24"/>
  <c r="AF804" i="24"/>
  <c r="AF653" i="24"/>
  <c r="AF2107" i="24"/>
  <c r="AF1484" i="24"/>
  <c r="AF1218" i="24"/>
  <c r="AF1654" i="24"/>
  <c r="AF1294" i="24"/>
  <c r="AF1648" i="24"/>
  <c r="AF1526" i="24"/>
  <c r="AF394" i="24"/>
  <c r="AF2709" i="24"/>
  <c r="AF1196" i="24"/>
  <c r="AF746" i="24"/>
  <c r="AF2726" i="24"/>
  <c r="AF2122" i="24"/>
  <c r="AF1314" i="24"/>
  <c r="AF246" i="24"/>
  <c r="AF1101" i="24"/>
  <c r="AF888" i="24"/>
  <c r="AF1197" i="24"/>
  <c r="AF1308" i="24"/>
  <c r="AF1311" i="24"/>
  <c r="AF1558" i="24"/>
  <c r="AF2516" i="24"/>
  <c r="AF1171" i="24"/>
  <c r="AF2211" i="24"/>
  <c r="AF966" i="24"/>
  <c r="AF642" i="24"/>
  <c r="AF1306" i="24"/>
  <c r="AF1015" i="24"/>
  <c r="AF1323" i="24"/>
  <c r="AF1809" i="24"/>
  <c r="AF1132" i="24"/>
  <c r="AF1022" i="24"/>
  <c r="AF603" i="24"/>
  <c r="AF2173" i="24"/>
  <c r="AF2207" i="24"/>
  <c r="AF1562" i="24"/>
  <c r="AF2472" i="24"/>
  <c r="AF556" i="24"/>
  <c r="AF396" i="24"/>
  <c r="AF1948" i="24"/>
  <c r="AF1298" i="24"/>
  <c r="AF2286" i="24"/>
  <c r="AF2307" i="24"/>
  <c r="AF2454" i="24"/>
  <c r="AF762" i="24"/>
  <c r="AF891" i="24"/>
  <c r="AF1300" i="24"/>
  <c r="AF1502" i="24"/>
  <c r="AF1853" i="24"/>
  <c r="AF1821" i="24"/>
  <c r="AF1776" i="24"/>
  <c r="AF2475" i="24"/>
  <c r="AF2423" i="24"/>
  <c r="AF2629" i="24"/>
  <c r="AF1466" i="24"/>
  <c r="AF1282" i="24"/>
  <c r="AF513" i="24"/>
  <c r="AF232" i="24"/>
  <c r="AF1358" i="24"/>
  <c r="AF916" i="24"/>
  <c r="AF2157" i="24"/>
  <c r="AF319" i="24"/>
  <c r="AF1609" i="24"/>
  <c r="AF2204" i="24"/>
  <c r="AF1058" i="24"/>
  <c r="AF1235" i="24"/>
  <c r="AF2202" i="24"/>
  <c r="AF501" i="24"/>
  <c r="AF1651" i="24"/>
  <c r="AF2176" i="24"/>
  <c r="AF2317" i="24"/>
  <c r="AF1067" i="24"/>
  <c r="AF973" i="24"/>
  <c r="AF1619" i="24"/>
  <c r="AF536" i="24"/>
  <c r="AF1026" i="24"/>
  <c r="AF1071" i="24"/>
  <c r="AF945" i="24"/>
  <c r="AF567" i="24"/>
  <c r="AF1842" i="24"/>
  <c r="AF765" i="24"/>
  <c r="AF1085" i="24"/>
  <c r="AF2051" i="24"/>
  <c r="AF2312" i="24"/>
  <c r="AF792" i="24"/>
  <c r="AF2788" i="24"/>
  <c r="AF2004" i="24"/>
  <c r="AF1479" i="24"/>
  <c r="AF2550" i="24"/>
  <c r="AF1711" i="24"/>
  <c r="AF844" i="24"/>
  <c r="AF998" i="24"/>
  <c r="AF1150" i="24"/>
  <c r="AF1712" i="24"/>
  <c r="AF2598" i="24"/>
  <c r="AF1102" i="24"/>
  <c r="AF2253" i="24"/>
  <c r="AF1656" i="24"/>
  <c r="AF2589" i="24"/>
  <c r="AF1961" i="24"/>
  <c r="AF2214" i="24"/>
  <c r="AF2043" i="24"/>
  <c r="AF1115" i="24"/>
  <c r="AF466" i="24"/>
  <c r="AF1465" i="24"/>
  <c r="AF2354" i="24"/>
  <c r="AF2735" i="24"/>
  <c r="AF2199" i="24"/>
  <c r="AF635" i="24"/>
  <c r="AF2046" i="24"/>
  <c r="AF876" i="24"/>
  <c r="AF223" i="24"/>
  <c r="AF333" i="24"/>
  <c r="AF2642" i="24"/>
  <c r="AF2762" i="24"/>
  <c r="AF2238" i="24"/>
  <c r="AF1117" i="24"/>
  <c r="AF2755" i="24"/>
  <c r="AF484" i="24"/>
  <c r="AF1164" i="24"/>
  <c r="AF1435" i="24"/>
  <c r="AF326" i="24"/>
  <c r="AF619" i="24"/>
  <c r="AF727" i="24"/>
  <c r="AF903" i="24"/>
  <c r="AF1805" i="24"/>
  <c r="AF438" i="24"/>
  <c r="AF771" i="24"/>
  <c r="AF2555" i="24"/>
  <c r="AF547" i="24"/>
  <c r="AF1846" i="24"/>
  <c r="AF740" i="24"/>
  <c r="AF1901" i="24"/>
  <c r="AF1011" i="24"/>
  <c r="AF609" i="24"/>
  <c r="AF1449" i="24"/>
  <c r="AF2441" i="24"/>
  <c r="AF2415" i="24"/>
  <c r="AF2200" i="24"/>
  <c r="AF1778" i="24"/>
  <c r="AF730" i="24"/>
  <c r="AF1785" i="24"/>
  <c r="AF1234" i="24"/>
  <c r="AF2715" i="24"/>
  <c r="AF955" i="24"/>
  <c r="AF1962" i="24"/>
  <c r="AF1047" i="24"/>
  <c r="AF2187" i="24"/>
  <c r="AF1663" i="24"/>
  <c r="AF353" i="24"/>
  <c r="AF1230" i="24"/>
  <c r="AF368" i="24"/>
  <c r="AF2356" i="24"/>
  <c r="AF1565" i="24"/>
  <c r="AF2085" i="24"/>
  <c r="AF446" i="24"/>
  <c r="AF1480" i="24"/>
  <c r="AF1727" i="24"/>
  <c r="AF385" i="24"/>
  <c r="AF2181" i="24"/>
  <c r="AF1030" i="24"/>
  <c r="AF2712" i="24"/>
  <c r="AF906" i="24"/>
  <c r="AF1628" i="24"/>
  <c r="AF2074" i="24"/>
  <c r="AF1374" i="24"/>
  <c r="AF1203" i="24"/>
  <c r="AF2548" i="24"/>
  <c r="AF1729" i="24"/>
  <c r="AF2371" i="24"/>
  <c r="AF2167" i="24"/>
  <c r="AF2406" i="24"/>
  <c r="AF1257" i="24"/>
  <c r="AF431" i="24"/>
  <c r="AF1481" i="24"/>
  <c r="AF361" i="24"/>
  <c r="AF1349" i="24"/>
  <c r="AF250" i="24"/>
  <c r="AF2025" i="24"/>
  <c r="AF350" i="24"/>
  <c r="AF866" i="24"/>
  <c r="AF1350" i="24"/>
  <c r="AF560" i="24"/>
  <c r="AF1375" i="24"/>
  <c r="AF351" i="24"/>
  <c r="AF1877" i="24"/>
  <c r="AF1616" i="24"/>
  <c r="AF802" i="24"/>
  <c r="AF492" i="24"/>
  <c r="AF1581" i="24"/>
  <c r="AF2272" i="24"/>
  <c r="AF2255" i="24"/>
  <c r="AF1806" i="24"/>
  <c r="AF2766" i="24"/>
  <c r="AF2219" i="24"/>
  <c r="AF1701" i="24"/>
  <c r="AF2165" i="24"/>
  <c r="AF645" i="24"/>
  <c r="AF2551" i="24"/>
  <c r="AF1436" i="24"/>
  <c r="AF2774" i="24"/>
  <c r="AF414" i="24"/>
  <c r="AF2159" i="24"/>
  <c r="AF592" i="24"/>
  <c r="AF2035" i="24"/>
  <c r="AF544" i="24"/>
  <c r="AF464" i="24"/>
  <c r="AF2140" i="24"/>
  <c r="AF835" i="24"/>
  <c r="AF1990" i="24"/>
  <c r="AF327" i="24"/>
  <c r="AF2008" i="24"/>
  <c r="AF225" i="24"/>
  <c r="AF1524" i="24"/>
  <c r="AF424" i="24"/>
  <c r="AF1419" i="24"/>
  <c r="AF1840" i="24"/>
  <c r="AF975" i="24"/>
  <c r="AF1441" i="24"/>
  <c r="AF2787" i="24"/>
  <c r="AF1283" i="24"/>
  <c r="AF1139" i="24"/>
  <c r="AF657" i="24"/>
  <c r="AF1837" i="24"/>
  <c r="AF1771" i="24"/>
  <c r="AF2241" i="24"/>
  <c r="AF1517" i="24"/>
  <c r="AF311" i="24"/>
  <c r="AF2095" i="24"/>
  <c r="AF411" i="24"/>
  <c r="AF2465" i="24"/>
  <c r="AF1506" i="24"/>
  <c r="AF2624" i="24"/>
  <c r="AF2443" i="24"/>
  <c r="AF739" i="24"/>
  <c r="AF1576" i="24"/>
  <c r="AF1174" i="24"/>
  <c r="AF2418" i="24"/>
  <c r="AF1780" i="24"/>
  <c r="AF839" i="24"/>
  <c r="AF2627" i="24"/>
  <c r="AF1529" i="24"/>
  <c r="AF554" i="24"/>
  <c r="AF1751" i="24"/>
  <c r="AF1489" i="24"/>
  <c r="AF1597" i="24"/>
  <c r="AF2083" i="24"/>
  <c r="AF2584" i="24"/>
  <c r="AF2189" i="24"/>
  <c r="AF677" i="24"/>
  <c r="AF1660" i="24"/>
  <c r="AF2331" i="24"/>
  <c r="AF2314" i="24"/>
  <c r="AF1761" i="24"/>
  <c r="AF1702" i="24"/>
  <c r="AF1405" i="24"/>
  <c r="AF1643" i="24"/>
  <c r="AF1787" i="24"/>
  <c r="AF1818" i="24"/>
  <c r="AF2013" i="24"/>
  <c r="AF825" i="24"/>
  <c r="AF842" i="24"/>
  <c r="AF670" i="24"/>
  <c r="AF2675" i="24"/>
  <c r="AF958" i="24"/>
  <c r="AF2714" i="24"/>
  <c r="AF1040" i="24"/>
  <c r="AF1135" i="24"/>
  <c r="AF2718" i="24"/>
  <c r="AF2352" i="24"/>
  <c r="AF2185" i="24"/>
  <c r="AF926" i="24"/>
  <c r="AF1007" i="24"/>
  <c r="AF1883" i="24"/>
  <c r="AF332" i="24"/>
  <c r="AF435" i="24"/>
  <c r="AF1850" i="24"/>
  <c r="AF1815" i="24"/>
  <c r="AF1724" i="24"/>
  <c r="AF404" i="24"/>
  <c r="AF853" i="24"/>
  <c r="AF1497" i="24"/>
  <c r="AF1862" i="24"/>
  <c r="AF1002" i="24"/>
  <c r="AF1500" i="24"/>
  <c r="AF1714" i="24"/>
  <c r="AF260" i="24"/>
  <c r="AF2343" i="24"/>
  <c r="AF1673" i="24"/>
  <c r="AF2365" i="24"/>
  <c r="AF924" i="24"/>
  <c r="AF1930" i="24"/>
  <c r="AF1454" i="24"/>
  <c r="AF1322" i="24"/>
  <c r="AF1376" i="24"/>
  <c r="AF663" i="24"/>
  <c r="AF251" i="24"/>
  <c r="AF1074" i="24"/>
  <c r="AF2559" i="24"/>
  <c r="AF1694" i="24"/>
  <c r="AF469" i="24"/>
  <c r="AF1825" i="24"/>
  <c r="AF310" i="24"/>
  <c r="AF2562" i="24"/>
  <c r="AF2748" i="24"/>
  <c r="AF1099" i="24"/>
  <c r="AF757" i="24"/>
  <c r="AF1571" i="24"/>
  <c r="AF1587" i="24"/>
  <c r="AF1337" i="24"/>
  <c r="AF1161" i="24"/>
  <c r="AF2781" i="24"/>
  <c r="AF2067" i="24"/>
  <c r="AF2334" i="24"/>
  <c r="AF2703" i="24"/>
  <c r="AF1903" i="24"/>
  <c r="AF726" i="24"/>
  <c r="AF2797" i="24"/>
  <c r="AF497" i="24"/>
  <c r="AF1858" i="24"/>
  <c r="AF1027" i="24"/>
  <c r="AF2139" i="24"/>
  <c r="AF593" i="24"/>
  <c r="AF1943" i="24"/>
  <c r="AF2339" i="24"/>
  <c r="AF640" i="24"/>
  <c r="AF2416" i="24"/>
  <c r="AF1894" i="24"/>
  <c r="AF1703" i="24"/>
  <c r="AF1487" i="24"/>
  <c r="AF398" i="24"/>
  <c r="AF1775" i="24"/>
  <c r="AF2177" i="24"/>
  <c r="AF1906" i="24"/>
  <c r="AF1705" i="24"/>
  <c r="AF2183" i="24"/>
  <c r="AF1395" i="24"/>
  <c r="AF2256" i="24"/>
  <c r="AF1021" i="24"/>
  <c r="AF737" i="24"/>
  <c r="AF511" i="24"/>
  <c r="AF2279" i="24"/>
  <c r="AF2153" i="24"/>
  <c r="AF1460" i="24"/>
  <c r="AF818" i="24"/>
  <c r="AF2128" i="24"/>
  <c r="AF708" i="24"/>
  <c r="AF313" i="24"/>
  <c r="AF1124" i="24"/>
  <c r="AF2053" i="24"/>
  <c r="AF1926" i="24"/>
  <c r="AF942" i="24"/>
  <c r="AF2386" i="24"/>
  <c r="AF689" i="24"/>
  <c r="AF1607" i="24"/>
  <c r="AF1722" i="24"/>
  <c r="AF1927" i="24"/>
  <c r="AF2681" i="24"/>
  <c r="AF462" i="24"/>
  <c r="AF2106" i="24"/>
  <c r="AF2453" i="24"/>
  <c r="AF2542" i="24"/>
  <c r="AF2324" i="24"/>
  <c r="AF2380" i="24"/>
  <c r="AF2497" i="24"/>
  <c r="AF2604" i="24"/>
  <c r="AF2229" i="24"/>
  <c r="AF2659" i="24"/>
  <c r="AF2198" i="24"/>
  <c r="AF257" i="24"/>
  <c r="AF1967" i="24"/>
  <c r="AF384" i="24"/>
  <c r="AF2436" i="24"/>
  <c r="AF1334" i="24"/>
  <c r="AF2290" i="24"/>
  <c r="AF1914" i="24"/>
  <c r="AF884" i="24"/>
  <c r="AF2026" i="24"/>
  <c r="AF2180" i="24"/>
  <c r="AF2732" i="24"/>
  <c r="AF1884" i="24"/>
  <c r="AF2007" i="24"/>
  <c r="AF2442" i="24"/>
  <c r="AF1380" i="24"/>
  <c r="AF723" i="24"/>
  <c r="AF1983" i="24"/>
  <c r="AF605" i="24"/>
  <c r="AF290" i="24"/>
  <c r="AF1610" i="24"/>
  <c r="AF2341" i="24"/>
  <c r="AF1274" i="24"/>
  <c r="AF1270" i="24"/>
  <c r="AF1652" i="24"/>
  <c r="AF379" i="24"/>
  <c r="AF660" i="24"/>
  <c r="AF1955" i="24"/>
  <c r="AF1679" i="24"/>
  <c r="AF2296" i="24"/>
  <c r="AF2308" i="24"/>
  <c r="AF270" i="24"/>
  <c r="AF2653" i="24"/>
  <c r="AF1188" i="24"/>
  <c r="AF715" i="24"/>
  <c r="AF463" i="24"/>
  <c r="AF1054" i="24"/>
  <c r="AF1757" i="24"/>
  <c r="AF546" i="24"/>
  <c r="AF2547" i="24"/>
  <c r="AF233" i="24"/>
  <c r="AF1717" i="24"/>
  <c r="AF808" i="24"/>
  <c r="AF1552" i="24"/>
  <c r="AF1974" i="24"/>
  <c r="AF2342" i="24"/>
  <c r="AF2734" i="24"/>
  <c r="AF1005" i="24"/>
  <c r="AF1073" i="24"/>
  <c r="AF2752" i="24"/>
  <c r="AF2688" i="24"/>
  <c r="AF1194" i="24"/>
  <c r="AF936" i="24"/>
  <c r="AF598" i="24"/>
  <c r="AF1505" i="24"/>
  <c r="AF1329" i="24"/>
  <c r="AF2751" i="24"/>
  <c r="AF363" i="24"/>
  <c r="AF2370" i="24"/>
  <c r="AF1659" i="24"/>
  <c r="AF2425" i="24"/>
  <c r="AF2250" i="24"/>
  <c r="AF1131" i="24"/>
  <c r="AF1639" i="24"/>
  <c r="AF2446" i="24"/>
  <c r="AF2249" i="24"/>
  <c r="AF1860" i="24"/>
  <c r="AF249" i="24"/>
  <c r="AF491" i="24"/>
  <c r="AF2195" i="24"/>
  <c r="AF2156" i="24"/>
  <c r="AF1291" i="24"/>
  <c r="AF2461" i="24"/>
  <c r="AF495" i="24"/>
  <c r="AF2722" i="24"/>
  <c r="AF2488" i="24"/>
  <c r="AF925" i="24"/>
  <c r="AF2335" i="24"/>
  <c r="AF1843" i="24"/>
  <c r="AF1944" i="24"/>
  <c r="AF1343" i="24"/>
  <c r="AF1338" i="24"/>
  <c r="AF2297" i="24"/>
  <c r="AF1618" i="24"/>
  <c r="AF2585" i="24"/>
  <c r="AF406" i="24"/>
  <c r="AF575" i="24"/>
  <c r="AF420" i="24"/>
  <c r="AF1793" i="24"/>
  <c r="AF728" i="24"/>
  <c r="AF2487" i="24"/>
  <c r="AF783" i="24"/>
  <c r="AF1522" i="24"/>
  <c r="AF1741" i="24"/>
  <c r="AF2244" i="24"/>
  <c r="AF1829" i="24"/>
  <c r="AF552" i="24"/>
  <c r="AF1348" i="24"/>
  <c r="AF1184" i="24"/>
  <c r="AF1958" i="24"/>
  <c r="AF2208" i="24"/>
  <c r="AF1764" i="24"/>
  <c r="AF1588" i="24"/>
  <c r="AF267" i="24"/>
  <c r="AF874" i="24"/>
  <c r="AF944" i="24"/>
  <c r="AF1220" i="24"/>
  <c r="AF2756" i="24"/>
  <c r="AF1079" i="24"/>
  <c r="AF1596" i="24"/>
  <c r="AF838" i="24"/>
  <c r="AF383" i="24"/>
  <c r="AF2381" i="24"/>
  <c r="AF1716" i="24"/>
  <c r="AF295" i="24"/>
  <c r="AF2477" i="24"/>
  <c r="AF527" i="24"/>
  <c r="AF947" i="24"/>
  <c r="AF2227" i="24"/>
  <c r="AF1072" i="24"/>
  <c r="AF1271" i="24"/>
  <c r="AF1987" i="24"/>
  <c r="AF1237" i="24"/>
  <c r="AF747" i="24"/>
  <c r="AF788" i="24"/>
  <c r="AF2233" i="24"/>
  <c r="AF600" i="24"/>
  <c r="AF506" i="24"/>
  <c r="AF1970" i="24"/>
  <c r="AF2666" i="24"/>
  <c r="AF2028" i="24"/>
  <c r="AF2794" i="24"/>
  <c r="AF1393" i="24"/>
  <c r="AF585" i="24"/>
  <c r="AF2182" i="24"/>
  <c r="AF1937" i="24"/>
  <c r="AF242" i="24"/>
  <c r="AF328" i="24"/>
  <c r="AF2754" i="24"/>
  <c r="AF2248" i="24"/>
  <c r="AF981" i="24"/>
  <c r="AF860" i="24"/>
  <c r="AF273" i="24"/>
  <c r="AF2092" i="24"/>
  <c r="AF1255" i="24"/>
  <c r="AF2163" i="24"/>
  <c r="AF937" i="24"/>
  <c r="AF1537" i="24"/>
  <c r="AF2049" i="24"/>
  <c r="AF2531" i="24"/>
  <c r="AF2581" i="24"/>
  <c r="AF1154" i="24"/>
  <c r="AF298" i="24"/>
  <c r="AF540" i="24"/>
  <c r="AF1279" i="24"/>
  <c r="AF421" i="24"/>
  <c r="AF2404" i="24"/>
  <c r="AF1303" i="24"/>
  <c r="AF532" i="24"/>
  <c r="AF318" i="24"/>
  <c r="AF2634" i="24"/>
  <c r="AF830" i="24"/>
  <c r="AF2178" i="24"/>
  <c r="AF2174" i="24"/>
  <c r="AF1094" i="24"/>
  <c r="AF1585" i="24"/>
  <c r="AF297" i="24"/>
  <c r="AF2717" i="24"/>
  <c r="AF393" i="24"/>
  <c r="AF2108" i="24"/>
  <c r="AF1125" i="24"/>
  <c r="AF2515" i="24"/>
  <c r="AF2471" i="24"/>
  <c r="AF1570" i="24"/>
  <c r="AF1208" i="24"/>
  <c r="AF1023" i="24"/>
  <c r="AF1792" i="24"/>
  <c r="AF811" i="24"/>
  <c r="AF325" i="24"/>
  <c r="AF376" i="24"/>
  <c r="AF758" i="24"/>
  <c r="AF2554" i="24"/>
  <c r="AF1856" i="24"/>
  <c r="AF2340" i="24"/>
  <c r="AF1686" i="24"/>
  <c r="AF833" i="24"/>
  <c r="AF2644" i="24"/>
  <c r="AF2512" i="24"/>
  <c r="AF315" i="24"/>
  <c r="AF488" i="24"/>
  <c r="AF828" i="24"/>
  <c r="AF371" i="24"/>
  <c r="AF1490" i="24"/>
  <c r="AF2103" i="24"/>
  <c r="AF993" i="24"/>
  <c r="AF1122" i="24"/>
  <c r="AF1052" i="24"/>
  <c r="AF2390" i="24"/>
  <c r="AF1518" i="24"/>
  <c r="AF1231" i="24"/>
  <c r="AF666" i="24"/>
  <c r="AF1951" i="24"/>
  <c r="AF969" i="24"/>
  <c r="AF1880" i="24"/>
  <c r="AF631" i="24"/>
  <c r="AF2671" i="24"/>
  <c r="AF848" i="24"/>
  <c r="AF855" i="24"/>
  <c r="AF877" i="24"/>
  <c r="AF372" i="24"/>
  <c r="AF742" i="24"/>
  <c r="AF1169" i="24"/>
  <c r="AF2411" i="24"/>
  <c r="AF618" i="24"/>
  <c r="AF2514" i="24"/>
  <c r="AF607" i="24"/>
  <c r="AF345" i="24"/>
  <c r="AF291" i="24"/>
  <c r="AF1241" i="24"/>
  <c r="AF570" i="24"/>
  <c r="AF1049" i="24"/>
  <c r="AF1201" i="24"/>
  <c r="AF1469" i="24"/>
  <c r="AF687" i="24"/>
  <c r="AF1053" i="24"/>
  <c r="AF2316" i="24"/>
  <c r="AF2113" i="24"/>
  <c r="AF340" i="24"/>
  <c r="AF1409" i="24"/>
  <c r="AF1236" i="24"/>
  <c r="AF2064" i="24"/>
  <c r="AF749" i="24"/>
  <c r="AF224" i="24"/>
  <c r="AF1450" i="24"/>
  <c r="AF2676" i="24"/>
  <c r="AF2647" i="24"/>
  <c r="AF358" i="24"/>
  <c r="AF455" i="24"/>
  <c r="AF953" i="24"/>
  <c r="AF2421" i="24"/>
  <c r="AF523" i="24"/>
  <c r="AF1158" i="24"/>
  <c r="AF391" i="24"/>
  <c r="AF1420" i="24"/>
  <c r="AF1364" i="24"/>
  <c r="AF1381" i="24"/>
  <c r="AF1042" i="24"/>
  <c r="AF951" i="24"/>
  <c r="AF2533" i="24"/>
  <c r="AF1421" i="24"/>
  <c r="AF357" i="24"/>
  <c r="AF754" i="24"/>
  <c r="AF736" i="24"/>
  <c r="AF475" i="24"/>
  <c r="AF1911" i="24"/>
  <c r="AF1342" i="24"/>
  <c r="AF1511" i="24"/>
  <c r="AF461" i="24"/>
  <c r="AF279" i="24"/>
  <c r="AF477" i="24"/>
  <c r="AF1981" i="24"/>
  <c r="AF639" i="24"/>
  <c r="AF1636" i="24"/>
  <c r="AF255" i="24"/>
  <c r="AF1501" i="24"/>
  <c r="AF1946" i="24"/>
  <c r="AF2326" i="24"/>
  <c r="AF1798" i="24"/>
  <c r="AF971" i="24"/>
  <c r="AF2196" i="24"/>
  <c r="AF1578" i="24"/>
  <c r="AF1225" i="24"/>
  <c r="AF378" i="24"/>
  <c r="AF2519" i="24"/>
  <c r="AF2259" i="24"/>
  <c r="AF2094" i="24"/>
  <c r="AF1226" i="24"/>
  <c r="AF1647" i="24"/>
  <c r="AF596" i="24"/>
  <c r="AF1572" i="24"/>
  <c r="AF1857" i="24"/>
  <c r="AF1327" i="24"/>
  <c r="AF2783" i="24"/>
  <c r="AF795" i="24"/>
  <c r="AF549" i="24"/>
  <c r="AF2336" i="24"/>
  <c r="AF1076" i="24"/>
  <c r="AF268" i="24"/>
  <c r="AF1477" i="24"/>
  <c r="AF988" i="24"/>
  <c r="AF2327" i="24"/>
  <c r="AF1284" i="24"/>
  <c r="AF1786" i="24"/>
  <c r="AF1483" i="24"/>
  <c r="AF684" i="24"/>
  <c r="AF1266" i="24"/>
  <c r="AF1001" i="24"/>
  <c r="AF1457" i="24"/>
  <c r="AF946" i="24"/>
  <c r="AF1365" i="24"/>
  <c r="AF457" i="24"/>
  <c r="AF1582" i="24"/>
  <c r="AF2171" i="24"/>
  <c r="AF647" i="24"/>
  <c r="AF1428" i="24"/>
  <c r="AF512" i="24"/>
  <c r="AF941" i="24"/>
  <c r="AF485" i="24"/>
  <c r="AF1849" i="24"/>
  <c r="AF2245" i="24"/>
  <c r="AF2306" i="24"/>
  <c r="AF403" i="24"/>
  <c r="AF572" i="24"/>
  <c r="AF1592" i="24"/>
  <c r="AF437" i="24"/>
  <c r="AF2037" i="24"/>
  <c r="AF1745" i="24"/>
  <c r="AF2129" i="24"/>
  <c r="AF1649" i="24"/>
  <c r="AF1098" i="24"/>
  <c r="AF1126" i="24"/>
  <c r="AF1104" i="24"/>
  <c r="AF2507" i="24"/>
  <c r="AF1734" i="24"/>
  <c r="AF1118" i="24"/>
  <c r="AF1964" i="24"/>
  <c r="AF1706" i="24"/>
  <c r="AF2081" i="24"/>
  <c r="AF868" i="24"/>
  <c r="AF2579" i="24"/>
  <c r="AF335" i="24"/>
  <c r="AF845" i="24"/>
  <c r="AF1324" i="24"/>
  <c r="AF2098" i="24"/>
  <c r="AF2692" i="24"/>
  <c r="AF1129" i="24"/>
  <c r="AF1370" i="24"/>
  <c r="AF2733" i="24"/>
  <c r="AF2700" i="24"/>
  <c r="AF2600" i="24"/>
  <c r="AF2683" i="24"/>
  <c r="AF245" i="24"/>
  <c r="AF1080" i="24"/>
  <c r="AF1781" i="24"/>
  <c r="AF1335" i="24"/>
  <c r="AF2435" i="24"/>
  <c r="AF2144" i="24"/>
  <c r="AF2080" i="24"/>
  <c r="AF912" i="24"/>
  <c r="AF864" i="24"/>
  <c r="AF1934" i="24"/>
  <c r="AF2322" i="24"/>
  <c r="AF809" i="24"/>
  <c r="AF1536" i="24"/>
  <c r="AF1211" i="24"/>
  <c r="AF471" i="24"/>
  <c r="AF976" i="24"/>
  <c r="AF347" i="24"/>
  <c r="AF1551" i="24"/>
  <c r="AF896" i="24"/>
  <c r="AF2323" i="24"/>
  <c r="AF1138" i="24"/>
  <c r="AF836" i="24"/>
  <c r="AF865" i="24"/>
  <c r="AF559" i="24"/>
  <c r="AF1417" i="24"/>
  <c r="AF1043" i="24"/>
  <c r="AF1924" i="24"/>
  <c r="AF2050" i="24"/>
  <c r="AF2750" i="24"/>
  <c r="AF784" i="24"/>
  <c r="AF716" i="24"/>
  <c r="AF1462" i="24"/>
  <c r="AF977" i="24"/>
  <c r="AF2226" i="24"/>
  <c r="AF1178" i="24"/>
  <c r="AF1448" i="24"/>
  <c r="AF370" i="24"/>
  <c r="AF292" i="24"/>
  <c r="AF2267" i="24"/>
  <c r="AF1584" i="24"/>
  <c r="AF2565" i="24"/>
  <c r="AF984" i="24"/>
  <c r="AF375" i="24"/>
  <c r="AF1899" i="24"/>
  <c r="AF481" i="24"/>
  <c r="AF1318" i="24"/>
  <c r="AF1463" i="24"/>
  <c r="AF1726" i="24"/>
  <c r="AF1244" i="24"/>
  <c r="AF2593" i="24"/>
  <c r="AF1170" i="24"/>
  <c r="AF500" i="24"/>
  <c r="AF2115" i="24"/>
  <c r="AF1459" i="24"/>
  <c r="AF1812" i="24"/>
  <c r="AF1590" i="24"/>
  <c r="AF2495" i="24"/>
  <c r="AF2645" i="24"/>
  <c r="AF2737" i="24"/>
  <c r="AF875" i="24"/>
  <c r="AF1111" i="24"/>
  <c r="AF831" i="24"/>
  <c r="AF541" i="24"/>
  <c r="AF760" i="24"/>
  <c r="AF2429" i="24"/>
  <c r="AF1453" i="24"/>
  <c r="AF2590" i="24"/>
  <c r="AF2123" i="24"/>
  <c r="AF2087" i="24"/>
  <c r="AF962" i="24"/>
  <c r="AF801" i="24"/>
  <c r="AF1747" i="24"/>
  <c r="AF2509" i="24"/>
  <c r="AF1473" i="24"/>
  <c r="AF1968" i="24"/>
  <c r="AF1941" i="24"/>
  <c r="AF2217" i="24"/>
  <c r="AF1567" i="24"/>
  <c r="AF2417" i="24"/>
  <c r="AF2451" i="24"/>
  <c r="AF2410" i="24"/>
  <c r="AF1900" i="24"/>
  <c r="AF922" i="24"/>
  <c r="AF1769" i="24"/>
  <c r="AF1642" i="24"/>
  <c r="AF882" i="24"/>
  <c r="AF1700" i="24"/>
  <c r="AF2724" i="24"/>
  <c r="AF1813" i="24"/>
  <c r="AF2639" i="24"/>
  <c r="AF2349" i="24"/>
  <c r="AF2333" i="24"/>
  <c r="AF237" i="24"/>
  <c r="AF460" i="24"/>
  <c r="AF381" i="24"/>
  <c r="AF1632" i="24"/>
  <c r="AF1509" i="24"/>
  <c r="AF1289" i="24"/>
  <c r="AF2758" i="24"/>
  <c r="AF2603" i="24"/>
  <c r="AF2610" i="24"/>
  <c r="AF1527" i="24"/>
  <c r="AF1440" i="24"/>
  <c r="AF419" i="24"/>
  <c r="AF364" i="24"/>
  <c r="AF399" i="24"/>
  <c r="AF1758" i="24"/>
  <c r="AF1179" i="24"/>
  <c r="AF558" i="24"/>
  <c r="AF1326" i="24"/>
  <c r="AF1461" i="24"/>
  <c r="AF2686" i="24"/>
  <c r="AF646" i="24"/>
  <c r="AF843" i="24"/>
  <c r="AF1206" i="24"/>
  <c r="AF1304" i="24"/>
  <c r="AF1290" i="24"/>
  <c r="AF517" i="24"/>
  <c r="AF2537" i="24"/>
  <c r="AF2513" i="24"/>
  <c r="AF1267" i="24"/>
  <c r="AF1595" i="24"/>
  <c r="AF220" i="24"/>
  <c r="AF534" i="24"/>
  <c r="AF1515" i="24"/>
  <c r="AF852" i="24"/>
  <c r="AF1768" i="24"/>
  <c r="AF520" i="24"/>
  <c r="AF612" i="24"/>
  <c r="AF2535" i="24"/>
  <c r="AF2362" i="24"/>
  <c r="AF2038" i="24"/>
  <c r="AF2160" i="24"/>
  <c r="AF1313" i="24"/>
  <c r="AF2621" i="24"/>
  <c r="AF2357" i="24"/>
  <c r="AF997" i="24"/>
  <c r="AF1925" i="24"/>
  <c r="AF1286" i="24"/>
  <c r="AF2611" i="24"/>
  <c r="AF386" i="24"/>
  <c r="AF2006" i="24"/>
  <c r="AF1535" i="24"/>
  <c r="AF2086" i="24"/>
  <c r="AF458" i="24"/>
  <c r="AF2325" i="24"/>
  <c r="AF1928" i="24"/>
  <c r="AF1149" i="24"/>
  <c r="AF1554" i="24"/>
  <c r="AF1671" i="24"/>
  <c r="AF329" i="24"/>
  <c r="AF447" i="24"/>
  <c r="AF2136" i="24"/>
  <c r="AF1250" i="24"/>
  <c r="AF304" i="24"/>
  <c r="AF288" i="24"/>
  <c r="AF902" i="24"/>
  <c r="AF1373" i="24"/>
  <c r="AF519" i="24"/>
  <c r="AF732" i="24"/>
  <c r="AF1851" i="24"/>
  <c r="AF983" i="24"/>
  <c r="AF2321" i="24"/>
  <c r="AF2699" i="24"/>
  <c r="AF1032" i="24"/>
  <c r="AF704" i="24"/>
  <c r="AF507" i="24"/>
  <c r="AF1863" i="24"/>
  <c r="AF668" i="24"/>
  <c r="AF2570" i="24"/>
  <c r="AF2696" i="24"/>
  <c r="AF2657" i="24"/>
  <c r="AF539" i="24"/>
  <c r="AF2764" i="24"/>
  <c r="AF478" i="24"/>
  <c r="AF2263" i="24"/>
  <c r="AF1561" i="24"/>
  <c r="AF669" i="24"/>
  <c r="AF2608" i="24"/>
  <c r="AF1589" i="24"/>
  <c r="AF680" i="24"/>
  <c r="AF1256" i="24"/>
  <c r="AF1180" i="24"/>
  <c r="AF2277" i="24"/>
  <c r="AF2760" i="24"/>
  <c r="AF1688" i="24"/>
  <c r="AF2641" i="24"/>
  <c r="AF2738" i="24"/>
  <c r="AF283" i="24"/>
  <c r="AF934" i="24"/>
  <c r="AF1641" i="24"/>
  <c r="AF1635" i="24"/>
  <c r="AF505" i="24"/>
  <c r="AF768" i="24"/>
  <c r="AF1396" i="24"/>
  <c r="AF415" i="24"/>
  <c r="AF1185" i="24"/>
  <c r="AF2505" i="24"/>
  <c r="AF879" i="24"/>
  <c r="AF996" i="24"/>
  <c r="AF1516" i="24"/>
  <c r="AF2491" i="24"/>
  <c r="AF581" i="24"/>
  <c r="AF2789" i="24"/>
  <c r="AF1345" i="24"/>
  <c r="AF2303" i="24"/>
  <c r="AF1464" i="24"/>
  <c r="AF1984" i="24"/>
  <c r="AF580" i="24"/>
  <c r="AF377" i="24"/>
  <c r="AF905" i="24"/>
  <c r="AF2150" i="24"/>
  <c r="AF1847" i="24"/>
  <c r="AF1886" i="24"/>
  <c r="AF355" i="24"/>
  <c r="AF2369" i="24"/>
  <c r="AF2387" i="24"/>
  <c r="AF509" i="24"/>
  <c r="AF1790" i="24"/>
  <c r="AF574" i="24"/>
  <c r="AF543" i="24"/>
  <c r="AF1699" i="24"/>
  <c r="AF1655" i="24"/>
  <c r="AF1713" i="24"/>
  <c r="AF346" i="24"/>
  <c r="AF1422" i="24"/>
  <c r="AF1035" i="24"/>
  <c r="AF2021" i="24"/>
  <c r="AF2511" i="24"/>
  <c r="AF2571" i="24"/>
  <c r="AF829" i="24"/>
  <c r="AF979" i="24"/>
  <c r="AF2772" i="24"/>
  <c r="AF1307" i="24"/>
  <c r="AF1425" i="24"/>
  <c r="AF240" i="24"/>
  <c r="AF949" i="24"/>
  <c r="AF2397" i="24"/>
  <c r="AF2668" i="24"/>
  <c r="AF1599" i="24"/>
  <c r="AF1594" i="24"/>
  <c r="AF800" i="24"/>
  <c r="AF2795" i="24"/>
  <c r="AF1752" i="24"/>
  <c r="AF365" i="24"/>
  <c r="AF786" i="24"/>
  <c r="AF401" i="24"/>
  <c r="AF2444" i="24"/>
  <c r="AF1890" i="24"/>
  <c r="AF748" i="24"/>
  <c r="AF1153" i="24"/>
  <c r="AF904" i="24"/>
  <c r="AF1351" i="24"/>
  <c r="AF2594" i="24"/>
  <c r="AF2432" i="24"/>
  <c r="AF1163" i="24"/>
  <c r="AF2201" i="24"/>
  <c r="AF2117" i="24"/>
  <c r="AF2246" i="24"/>
  <c r="AF2047" i="24"/>
  <c r="AF2663" i="24"/>
  <c r="AF886" i="24"/>
  <c r="AF2223" i="24"/>
  <c r="AF453" i="24"/>
  <c r="AF2105" i="24"/>
  <c r="AF709" i="24"/>
  <c r="AF779" i="24"/>
  <c r="AF1817" i="24"/>
  <c r="AF1690" i="24"/>
  <c r="AF584" i="24"/>
  <c r="AF428" i="24"/>
  <c r="AF307" i="24"/>
  <c r="AF2142" i="24"/>
  <c r="AF1739" i="24"/>
  <c r="AF1528" i="24"/>
  <c r="AF2721" i="24"/>
  <c r="AF2213" i="24"/>
  <c r="AF2448" i="24"/>
  <c r="AF2360" i="24"/>
  <c r="AF2154" i="24"/>
  <c r="AF2170" i="24"/>
  <c r="AF899" i="24"/>
  <c r="AF1260" i="24"/>
  <c r="AF1791" i="24"/>
  <c r="AF1555" i="24"/>
  <c r="AF714" i="24"/>
  <c r="AF2569" i="24"/>
  <c r="AF1879" i="24"/>
  <c r="AF659" i="24"/>
  <c r="AF1128" i="24"/>
  <c r="AF1215" i="24"/>
  <c r="AF1340" i="24"/>
  <c r="AF1762" i="24"/>
  <c r="AF2111" i="24"/>
  <c r="AF2684" i="24"/>
  <c r="AF459" i="24"/>
  <c r="AF2660" i="24"/>
  <c r="AF745" i="24"/>
  <c r="AF323" i="24"/>
  <c r="AF1341" i="24"/>
  <c r="AF1645" i="24"/>
  <c r="AF1301" i="24"/>
  <c r="AF1087" i="24"/>
  <c r="AF1627" i="24"/>
  <c r="AF1848" i="24"/>
  <c r="AF262" i="24"/>
  <c r="AF907" i="24"/>
  <c r="AF2048" i="24"/>
  <c r="AF681" i="24"/>
  <c r="AF1913" i="24"/>
  <c r="AF1432" i="24"/>
  <c r="AF697" i="24"/>
  <c r="AF1756" i="24"/>
  <c r="AF2784" i="24"/>
  <c r="AF1106" i="24"/>
  <c r="AF2588" i="24"/>
  <c r="AF1093" i="24"/>
  <c r="AF1245" i="24"/>
  <c r="AF2332" i="24"/>
  <c r="AF1794" i="24"/>
  <c r="AF1159" i="24"/>
  <c r="AF703" i="24"/>
  <c r="AF2630" i="24"/>
  <c r="AF1770" i="24"/>
  <c r="AF2405" i="24"/>
  <c r="AF2311" i="24"/>
  <c r="AF2291" i="24"/>
  <c r="AF2149" i="24"/>
  <c r="AF1577" i="24"/>
  <c r="AF244" i="24"/>
  <c r="AF2439" i="24"/>
  <c r="AF1878" i="24"/>
  <c r="AF1165" i="24"/>
  <c r="AF1302" i="24"/>
  <c r="AF2434" i="24"/>
  <c r="AF2746" i="24"/>
  <c r="AF2564" i="24"/>
  <c r="AF1398" i="24"/>
  <c r="AF2090" i="24"/>
  <c r="AF2723" i="24"/>
  <c r="AF1832" i="24"/>
  <c r="AF628" i="24"/>
  <c r="AF968" i="24"/>
  <c r="AF776" i="24"/>
  <c r="AF2591" i="24"/>
  <c r="AF1736" i="24"/>
  <c r="AF2280" i="24"/>
  <c r="AF1753" i="24"/>
  <c r="AF2635" i="24"/>
  <c r="AF2030" i="24"/>
  <c r="AF2552" i="24"/>
  <c r="AF2510" i="24"/>
  <c r="AF1209" i="24"/>
  <c r="AF1750" i="24"/>
  <c r="AF2125" i="24"/>
  <c r="AF470" i="24"/>
  <c r="AF597" i="24"/>
  <c r="AF1259" i="24"/>
  <c r="AF2457" i="24"/>
  <c r="AF2740" i="24"/>
  <c r="AF2061" i="24"/>
  <c r="AF1034" i="24"/>
  <c r="AF413" i="24"/>
  <c r="AF2649" i="24"/>
  <c r="AF510" i="24"/>
  <c r="AF892" i="24"/>
  <c r="AF700" i="24"/>
  <c r="AF759" i="24"/>
  <c r="AF2071" i="24"/>
  <c r="AF1897" i="24"/>
  <c r="AF2040" i="24"/>
  <c r="AF2104" i="24"/>
  <c r="AF2618" i="24"/>
  <c r="AF1754" i="24"/>
  <c r="AF1366" i="24"/>
  <c r="AF2573" i="24"/>
  <c r="AF772" i="24"/>
  <c r="AF568" i="24"/>
  <c r="AF990" i="24"/>
  <c r="AF2054" i="24"/>
  <c r="AF2544" i="24"/>
  <c r="AF362" i="24"/>
  <c r="AF1216" i="24"/>
  <c r="AF1784" i="24"/>
  <c r="AF2289" i="24"/>
  <c r="AF2652" i="24"/>
  <c r="AF2109" i="24"/>
  <c r="AF1503" i="24"/>
  <c r="AF2350" i="24"/>
  <c r="AF814" i="24"/>
  <c r="AF741" i="24"/>
  <c r="AF594" i="24"/>
  <c r="AF1976" i="24"/>
  <c r="AF2112" i="24"/>
  <c r="AF1278" i="24"/>
  <c r="AF797" i="24"/>
  <c r="AF1760" i="24"/>
  <c r="AF389" i="24"/>
  <c r="AF1012" i="24"/>
  <c r="AF1273" i="24"/>
  <c r="AF2055" i="24"/>
  <c r="AF638" i="24"/>
  <c r="AF2770" i="24"/>
  <c r="AF521" i="24"/>
  <c r="AF933" i="24"/>
  <c r="AF2069" i="24"/>
  <c r="AF2220" i="24"/>
  <c r="AF1410" i="24"/>
  <c r="AF1287" i="24"/>
  <c r="AF1253" i="24"/>
  <c r="AF1952" i="24"/>
  <c r="AF2601" i="24"/>
  <c r="AF1136" i="24"/>
  <c r="AF719" i="24"/>
  <c r="AF1767" i="24"/>
  <c r="AF2084" i="24"/>
  <c r="AF487" i="24"/>
  <c r="AF1120" i="24"/>
  <c r="AF1617" i="24"/>
  <c r="AF963" i="24"/>
  <c r="AF923" i="24"/>
  <c r="AF2578" i="24"/>
  <c r="AF2016" i="24"/>
  <c r="AF271" i="24"/>
  <c r="AF2742" i="24"/>
  <c r="AF980" i="24"/>
  <c r="AF1387" i="24"/>
  <c r="AF720" i="24"/>
  <c r="AF2162" i="24"/>
  <c r="AF1530" i="24"/>
  <c r="AF2137" i="24"/>
  <c r="AF518" i="24"/>
  <c r="AF1113" i="24"/>
  <c r="AF775" i="24"/>
  <c r="AF2637" i="24"/>
  <c r="AF883" i="24"/>
  <c r="AF1586" i="24"/>
  <c r="AF693" i="24"/>
  <c r="AF409" i="24"/>
  <c r="AF282" i="24"/>
  <c r="AF2146" i="24"/>
  <c r="AF2273" i="24"/>
  <c r="AF1772" i="24"/>
  <c r="AF1653" i="24"/>
  <c r="AF1997" i="24"/>
  <c r="AF1384" i="24"/>
  <c r="AF837" i="24"/>
  <c r="AF1749" i="24"/>
  <c r="AF1269" i="24"/>
  <c r="AF2127" i="24"/>
  <c r="AF897" i="24"/>
  <c r="AF2027" i="24"/>
  <c r="AF1915" i="24"/>
  <c r="AF2682" i="24"/>
  <c r="AF590" i="24"/>
  <c r="AF1227" i="24"/>
  <c r="AF2673" i="24"/>
  <c r="AF430" i="24"/>
  <c r="AF683" i="24"/>
  <c r="AF2257" i="24"/>
  <c r="AF1312" i="24"/>
  <c r="AF1382" i="24"/>
  <c r="AF2607" i="24"/>
  <c r="AF1242" i="24"/>
  <c r="AF454" i="24"/>
  <c r="AF1064" i="24"/>
  <c r="AF502" i="24"/>
  <c r="AF1086" i="24"/>
  <c r="AF441" i="24"/>
  <c r="AF2459" i="24"/>
  <c r="AF1873" i="24"/>
  <c r="AF525" i="24"/>
  <c r="AF2768" i="24"/>
  <c r="AF1399" i="24"/>
  <c r="AF950" i="24"/>
  <c r="AF1199" i="24"/>
  <c r="AF1922" i="24"/>
  <c r="AF2791" i="24"/>
  <c r="AF2606" i="24"/>
  <c r="AF1333" i="24"/>
  <c r="AF2481" i="24"/>
  <c r="AF1372" i="24"/>
  <c r="AF1325" i="24"/>
  <c r="AF1931" i="24"/>
  <c r="AF1859" i="24"/>
  <c r="AF1371" i="24"/>
  <c r="AF2011" i="24"/>
  <c r="AF1748" i="24"/>
  <c r="AF2687" i="24"/>
  <c r="AF2240" i="24"/>
  <c r="AF2473" i="24"/>
  <c r="AF610" i="24"/>
  <c r="AF1638" i="24"/>
  <c r="AF901" i="24"/>
  <c r="AF1982" i="24"/>
  <c r="AF1229" i="24"/>
  <c r="AF1978" i="24"/>
  <c r="AF1499" i="24"/>
  <c r="AF589" i="24"/>
  <c r="AF222" i="24"/>
  <c r="AF1455" i="24"/>
  <c r="AF738" i="24"/>
  <c r="AF2001" i="24"/>
  <c r="AF452" i="24"/>
  <c r="AF486" i="24"/>
  <c r="AF2558" i="24"/>
  <c r="AF2727" i="24"/>
  <c r="AF2568" i="24"/>
  <c r="AF2775" i="24"/>
  <c r="AF1966" i="24"/>
  <c r="AF1683" i="24"/>
  <c r="AF1789" i="24"/>
  <c r="AF1114" i="24"/>
  <c r="AF259" i="24"/>
  <c r="AF2729" i="24"/>
  <c r="AF1492" i="24"/>
  <c r="AF280" i="24"/>
  <c r="AF956" i="24"/>
  <c r="AF299" i="24"/>
  <c r="AF2528" i="24"/>
  <c r="AF611" i="24"/>
  <c r="AF1613" i="24"/>
  <c r="AF2190" i="24"/>
  <c r="AF1369" i="24"/>
  <c r="AF2077" i="24"/>
  <c r="AF229" i="24"/>
  <c r="AF562" i="24"/>
  <c r="AF869" i="24"/>
  <c r="AF2646" i="24"/>
  <c r="AF2701" i="24"/>
  <c r="AF1881" i="24"/>
  <c r="AF917" i="24"/>
  <c r="AF2792" i="24"/>
  <c r="AF2763" i="24"/>
  <c r="AF2520" i="24"/>
  <c r="AF870" i="24"/>
  <c r="AF2052" i="24"/>
  <c r="AF582" i="24"/>
  <c r="AF791" i="24"/>
  <c r="AF1330" i="24"/>
  <c r="AF2145" i="24"/>
  <c r="AF2319" i="24"/>
  <c r="AF1621" i="24"/>
  <c r="AF1361" i="24"/>
  <c r="AF1814" i="24"/>
  <c r="AF274" i="24"/>
  <c r="AF2228" i="24"/>
  <c r="AF423" i="24"/>
  <c r="AF2212" i="24"/>
  <c r="AF2546" i="24"/>
  <c r="AF218" i="24"/>
  <c r="AF1533" i="24"/>
  <c r="AF1352" i="24"/>
  <c r="AF2492" i="24"/>
  <c r="AF2031" i="24"/>
  <c r="AF1864" i="24"/>
  <c r="AF2265" i="24"/>
  <c r="AF1172" i="24"/>
  <c r="AF440" i="24"/>
  <c r="AF1854" i="24"/>
  <c r="AF1442" i="24"/>
  <c r="AF799" i="24"/>
  <c r="AF1223" i="24"/>
  <c r="AF2502" i="24"/>
  <c r="AF1677" i="24"/>
  <c r="AF493" i="24"/>
  <c r="AF1664" i="24"/>
  <c r="AF2650" i="24"/>
  <c r="AF667" i="24"/>
  <c r="AF2422" i="24"/>
  <c r="AF1033" i="24"/>
  <c r="AF448" i="24"/>
  <c r="AF2504" i="24"/>
  <c r="AF629" i="24"/>
  <c r="AF1852" i="24"/>
  <c r="AF2045" i="24"/>
  <c r="AF790" i="24"/>
  <c r="AF2032" i="24"/>
  <c r="AF241" i="24"/>
  <c r="AF2720" i="24"/>
  <c r="AF2066" i="24"/>
  <c r="AF1025" i="24"/>
  <c r="AF1725" i="24"/>
  <c r="AF2389" i="24"/>
  <c r="AF1130" i="24"/>
  <c r="AF615" i="24"/>
  <c r="AF2231" i="24"/>
  <c r="AF2258" i="24"/>
  <c r="AF1661" i="24"/>
  <c r="AF1960" i="24"/>
  <c r="AF1116" i="24"/>
  <c r="AF1189" i="24"/>
  <c r="AF1123" i="24"/>
  <c r="AF2118" i="24"/>
  <c r="AF859" i="24"/>
  <c r="AF2445" i="24"/>
  <c r="AF2744" i="24"/>
  <c r="AF467" i="24"/>
  <c r="AF1728" i="24"/>
  <c r="AF2522" i="24"/>
  <c r="AF671" i="24"/>
  <c r="AF2536" i="24"/>
  <c r="AF894" i="24"/>
  <c r="AF2468" i="24"/>
  <c r="AF2517" i="24"/>
  <c r="AF2412" i="24"/>
  <c r="AF256" i="24"/>
  <c r="AF504" i="24"/>
  <c r="AF2667" i="24"/>
  <c r="AF2058" i="24"/>
  <c r="AF2656" i="24"/>
  <c r="AF1608" i="24"/>
  <c r="AF1424" i="24"/>
  <c r="AF1181" i="24"/>
  <c r="AF1759" i="24"/>
  <c r="AF2264" i="24"/>
  <c r="AF498" i="24"/>
  <c r="AF2541" i="24"/>
  <c r="AF2318" i="24"/>
  <c r="AF2782" i="24"/>
  <c r="AF2767" i="24"/>
  <c r="AF2260" i="24"/>
  <c r="AF694" i="24"/>
  <c r="AF2615" i="24"/>
  <c r="AF516" i="24"/>
  <c r="AF2197" i="24"/>
  <c r="AF938" i="24"/>
  <c r="AF871" i="24"/>
  <c r="AF2355" i="24"/>
  <c r="AF1020" i="24"/>
  <c r="AF692" i="24"/>
  <c r="AF1368" i="24"/>
  <c r="AF2262" i="24"/>
  <c r="AF2503" i="24"/>
  <c r="AF2158" i="24"/>
  <c r="AF641" i="24"/>
  <c r="AF2024" i="24"/>
  <c r="AF2693" i="24"/>
  <c r="AF2575" i="24"/>
  <c r="AF913" i="24"/>
  <c r="AF474" i="24"/>
  <c r="AF2433" i="24"/>
  <c r="AF807" i="24"/>
  <c r="AF2191" i="24"/>
  <c r="AF678" i="24"/>
  <c r="AF1629" i="24"/>
  <c r="AF1888" i="24"/>
  <c r="AF1167" i="24"/>
  <c r="AF1973" i="24"/>
  <c r="AF1953" i="24"/>
  <c r="AF1190" i="24"/>
  <c r="AF724" i="24"/>
  <c r="AF2798" i="24"/>
  <c r="AF266" i="24"/>
  <c r="AF2367" i="24"/>
  <c r="AF1391" i="24"/>
  <c r="AF1048" i="24"/>
  <c r="AF526" i="24"/>
  <c r="AF2172" i="24"/>
  <c r="AF751" i="24"/>
  <c r="AF1038" i="24"/>
  <c r="AF1520" i="24"/>
  <c r="AF1316" i="24"/>
  <c r="AF878" i="24"/>
  <c r="AF821" i="24"/>
  <c r="AF1413" i="24"/>
  <c r="AF2216" i="24"/>
  <c r="AF1546" i="24"/>
  <c r="AF1670" i="24"/>
  <c r="AF2070" i="24"/>
  <c r="AF2447" i="24"/>
  <c r="AF2358" i="24"/>
  <c r="AF277" i="24"/>
  <c r="AF412" i="24"/>
  <c r="AF2595" i="24"/>
  <c r="AF2270" i="24"/>
  <c r="AF1569" i="24"/>
  <c r="AF2057" i="24"/>
  <c r="AF1844" i="24"/>
  <c r="AF2796" i="24"/>
  <c r="AF2392" i="24"/>
  <c r="AF885" i="24"/>
  <c r="AF1028" i="24"/>
  <c r="AF1168" i="24"/>
  <c r="AF1091" i="24"/>
  <c r="AF219" i="24"/>
  <c r="AF921" i="24"/>
  <c r="AF654" i="24"/>
  <c r="AF2414" i="24"/>
  <c r="AF1068" i="24"/>
  <c r="AF2353" i="24"/>
  <c r="AF2033" i="24"/>
  <c r="AF954" i="24"/>
  <c r="AF2063" i="24"/>
  <c r="AF2251" i="24"/>
  <c r="AF2186" i="24"/>
  <c r="AF785" i="24"/>
  <c r="AF2292" i="24"/>
  <c r="AF1601" i="24"/>
  <c r="AF846" i="24"/>
  <c r="AF1541" i="24"/>
  <c r="AF918" i="24"/>
  <c r="AF2407" i="24"/>
  <c r="AF522" i="24"/>
  <c r="AF1563" i="24"/>
  <c r="AF583" i="24"/>
  <c r="AF1281" i="24"/>
  <c r="AF624" i="24"/>
  <c r="AF263" i="24"/>
  <c r="AF2020" i="24"/>
  <c r="AF1078" i="24"/>
  <c r="AF2496" i="24"/>
  <c r="AF656" i="24"/>
  <c r="AF2383" i="24"/>
  <c r="AF2524" i="24"/>
  <c r="AF1889" i="24"/>
  <c r="AF1081" i="24"/>
  <c r="AF2479" i="24"/>
  <c r="AF2010" i="24"/>
  <c r="AF1423" i="24"/>
  <c r="AF2041" i="24"/>
  <c r="AF2222" i="24"/>
  <c r="AF986" i="24"/>
  <c r="AF449" i="24"/>
  <c r="AF1173" i="24"/>
  <c r="AF2192" i="24"/>
  <c r="AF2152" i="24"/>
  <c r="AF2345" i="24"/>
  <c r="AF293" i="24"/>
  <c r="AF1108" i="24"/>
  <c r="AF1674" i="24"/>
  <c r="AF238" i="24"/>
  <c r="AF2135" i="24"/>
  <c r="AF2284" i="24"/>
  <c r="AF1612" i="24"/>
  <c r="AF334" i="24"/>
  <c r="AF531" i="24"/>
  <c r="AF2221" i="24"/>
  <c r="AF1062" i="24"/>
  <c r="AF1222" i="24"/>
  <c r="AF1293" i="24"/>
  <c r="AF2800" i="24"/>
  <c r="AF2042" i="24"/>
  <c r="AF1097" i="24"/>
  <c r="AF1667" i="24"/>
  <c r="AF774" i="24"/>
  <c r="AF698" i="24"/>
  <c r="AF987" i="24"/>
  <c r="AF1299" i="24"/>
  <c r="AF1598" i="24"/>
  <c r="AF343" i="24"/>
  <c r="AF674" i="24"/>
  <c r="AF617" i="24"/>
  <c r="AF1360" i="24"/>
  <c r="AF1591" i="24"/>
  <c r="AF2777" i="24"/>
  <c r="AF508" i="24"/>
  <c r="AF1991" i="24"/>
  <c r="AF2623" i="24"/>
  <c r="AF2072" i="24"/>
  <c r="AF2287" i="24"/>
  <c r="AF1141" i="24"/>
  <c r="AF227" i="24"/>
  <c r="AF400" i="24"/>
  <c r="AF967" i="24"/>
  <c r="AF1665" i="24"/>
  <c r="AF2164" i="24"/>
  <c r="AF1602" i="24"/>
  <c r="AF1822" i="24"/>
  <c r="AF2100" i="24"/>
  <c r="AF2749" i="24"/>
  <c r="AF1826" i="24"/>
  <c r="AF306" i="24"/>
  <c r="AF2690" i="24"/>
  <c r="AF1763" i="24"/>
  <c r="AF2662" i="24"/>
  <c r="AF2697" i="24"/>
  <c r="AF322" i="24"/>
  <c r="AF1954" i="24"/>
  <c r="AF2276" i="24"/>
  <c r="AF2315" i="24"/>
  <c r="AF2096" i="24"/>
  <c r="AF1905" i="24"/>
  <c r="AF407" i="24"/>
  <c r="AF2631" i="24"/>
  <c r="AF616" i="24"/>
  <c r="AF920" i="24"/>
  <c r="AF1029" i="24"/>
  <c r="AF1891" i="24"/>
  <c r="AF380" i="24"/>
  <c r="AF352" i="24"/>
  <c r="AF2102" i="24"/>
  <c r="AF1414" i="24"/>
  <c r="AF275" i="24"/>
  <c r="AF1543" i="24"/>
  <c r="AF2486" i="24"/>
  <c r="AF2239" i="24"/>
  <c r="AF841" i="24"/>
  <c r="AF1971" i="24"/>
  <c r="AF231" i="24"/>
  <c r="AF2771" i="24"/>
  <c r="AF856" i="24"/>
  <c r="AF336" i="24"/>
  <c r="AF2294" i="24"/>
  <c r="AF1474" i="24"/>
  <c r="AF289" i="24"/>
  <c r="AF2344" i="24"/>
  <c r="AF1146" i="24"/>
  <c r="AF2638" i="24"/>
  <c r="AF1583" i="24"/>
  <c r="AF994" i="24"/>
  <c r="AF551" i="24"/>
  <c r="AF1685" i="24"/>
  <c r="AF1439" i="24"/>
  <c r="AF374" i="24"/>
  <c r="AF2757" i="24"/>
  <c r="AF773" i="24"/>
  <c r="AF632" i="24"/>
  <c r="AF1478" i="24"/>
  <c r="AF2633" i="24"/>
  <c r="AF1985" i="24"/>
  <c r="AF1112" i="24"/>
  <c r="AF2691" i="24"/>
  <c r="AF2271" i="24"/>
  <c r="AF1392" i="24"/>
  <c r="AF1408" i="24"/>
  <c r="AF1892" i="24"/>
  <c r="AF1640" i="24"/>
  <c r="AF1151" i="24"/>
  <c r="AF1232" i="24"/>
  <c r="AF712" i="24"/>
  <c r="AF1510" i="24"/>
  <c r="AF2110" i="24"/>
  <c r="AF2337" i="24"/>
  <c r="AF1504" i="24"/>
  <c r="AF2299" i="24"/>
  <c r="AF766" i="24"/>
  <c r="AF2706" i="24"/>
  <c r="AF1803" i="24"/>
  <c r="AF1995" i="24"/>
  <c r="AF226" i="24"/>
  <c r="AF2730" i="24"/>
  <c r="AF2716" i="24"/>
  <c r="AF1411" i="24"/>
  <c r="AF1176" i="24"/>
  <c r="AF387" i="24"/>
  <c r="AF1009" i="24"/>
  <c r="AF2082" i="24"/>
  <c r="AF2743" i="24"/>
  <c r="AF1740" i="24"/>
  <c r="AF533" i="24"/>
  <c r="AF2711" i="24"/>
  <c r="AF2499" i="24"/>
  <c r="AF1986" i="24"/>
  <c r="AF815" i="24"/>
  <c r="AF2242" i="24"/>
  <c r="AF943" i="24"/>
  <c r="AF1807" i="24"/>
  <c r="AF1969" i="24"/>
  <c r="AF1695" i="24"/>
  <c r="AF1041" i="24"/>
  <c r="AF341" i="24"/>
  <c r="AF798" i="24"/>
  <c r="AF895" i="24"/>
  <c r="AF2361" i="24"/>
  <c r="AF1486" i="24"/>
  <c r="AF2230" i="24"/>
  <c r="AF1240" i="24"/>
  <c r="AF264" i="24"/>
  <c r="AF763" i="24"/>
  <c r="AF992" i="24"/>
  <c r="AF1246" i="24"/>
  <c r="AF1556" i="24"/>
  <c r="AF1633" i="24"/>
  <c r="AF2413" i="24"/>
  <c r="AF1875" i="24"/>
  <c r="AF1156" i="24"/>
  <c r="AF1538" i="24"/>
  <c r="AF1003" i="24"/>
  <c r="AF1614" i="24"/>
  <c r="AF2480" i="24"/>
  <c r="AF2428" i="24"/>
  <c r="AF360" i="24"/>
  <c r="AF2206" i="24"/>
  <c r="AF756" i="24"/>
  <c r="AF787" i="24"/>
  <c r="AF578" i="24"/>
  <c r="AF2484" i="24"/>
  <c r="AF1548" i="24"/>
  <c r="AF909" i="24"/>
  <c r="AF1540" i="24"/>
  <c r="AF1217" i="24"/>
  <c r="AF2431" i="24"/>
  <c r="AF1836" i="24"/>
  <c r="AF2295" i="24"/>
  <c r="AF915" i="24"/>
  <c r="AF2617" i="24"/>
  <c r="AF550" i="24"/>
  <c r="AF1710" i="24"/>
  <c r="AF303" i="24"/>
  <c r="AF2563" i="24"/>
  <c r="AF2728" i="24"/>
  <c r="AF2132" i="24"/>
  <c r="AF2677" i="24"/>
  <c r="AF778" i="24"/>
  <c r="AF1994" i="24"/>
  <c r="AF2310" i="24"/>
  <c r="AF2467" i="24"/>
  <c r="AF722" i="24"/>
  <c r="AF2347" i="24"/>
  <c r="AF1277" i="24"/>
  <c r="AF1861" i="24"/>
  <c r="AF2003" i="24"/>
  <c r="AF2059" i="24"/>
  <c r="AF300" i="24"/>
  <c r="AF805" i="24"/>
  <c r="AF696" i="24"/>
  <c r="AF356" i="24"/>
  <c r="AF1386" i="24"/>
  <c r="AF1144" i="24"/>
  <c r="AF2463" i="24"/>
  <c r="AF1276" i="24"/>
  <c r="AF468" i="24"/>
  <c r="AF1963" i="24"/>
  <c r="AF2346" i="24"/>
  <c r="AF2566" i="24"/>
  <c r="AF2587" i="24"/>
  <c r="AF367" i="24"/>
  <c r="AF1777" i="24"/>
  <c r="AF1320" i="24"/>
  <c r="AF824" i="24"/>
  <c r="AF2545" i="24"/>
  <c r="AF2586" i="24"/>
  <c r="AF661" i="24"/>
  <c r="AF793" i="24"/>
  <c r="AF2401" i="24"/>
  <c r="AF479" i="24"/>
  <c r="AF2281" i="24"/>
  <c r="AF2120" i="24"/>
  <c r="AF1014" i="24"/>
  <c r="AF230" i="24"/>
  <c r="AF1377" i="24"/>
  <c r="AF1096" i="24"/>
  <c r="AF2131" i="24"/>
  <c r="AF317" i="24"/>
  <c r="AF308" i="24"/>
  <c r="AF2674" i="24"/>
  <c r="AF929" i="24"/>
  <c r="AF2130" i="24"/>
  <c r="AF2155" i="24"/>
  <c r="AF2779" i="24"/>
  <c r="AF1893" i="24"/>
  <c r="AF1498" i="24"/>
  <c r="AF472" i="24"/>
  <c r="AF2168" i="24"/>
  <c r="AF2632" i="24"/>
  <c r="AF1192" i="24"/>
  <c r="AF682" i="24"/>
  <c r="AF2456" i="24"/>
  <c r="AF1689" i="24"/>
  <c r="AF2348" i="24"/>
  <c r="AF557" i="24"/>
  <c r="AF1907" i="24"/>
  <c r="AF1723" i="24"/>
  <c r="AF2134" i="24"/>
  <c r="AF1075" i="24"/>
  <c r="AF1808" i="24"/>
  <c r="AF957" i="24"/>
  <c r="AF1426" i="24"/>
  <c r="AF2062" i="24"/>
  <c r="AF528" i="24"/>
  <c r="AF2658" i="24"/>
  <c r="AF1523" i="24"/>
  <c r="AF312" i="24"/>
  <c r="AF2765" i="24"/>
  <c r="AF1254" i="24"/>
  <c r="AF450" i="24"/>
  <c r="AF1418" i="24"/>
  <c r="AF1696" i="24"/>
  <c r="AF1200" i="24"/>
  <c r="AF1006" i="24"/>
  <c r="AF1494" i="24"/>
  <c r="AF1870" i="24"/>
  <c r="AF1797" i="24"/>
  <c r="AF1263" i="24"/>
  <c r="AF2364" i="24"/>
  <c r="AF1142" i="24"/>
  <c r="AF2293" i="24"/>
  <c r="AF601" i="24"/>
  <c r="AF2151" i="24"/>
  <c r="AF731" i="24"/>
  <c r="AF1402" i="24"/>
  <c r="AF272" i="24"/>
  <c r="AF2494" i="24"/>
  <c r="AF2119" i="24"/>
  <c r="AF514" i="24"/>
  <c r="AF1363" i="24"/>
  <c r="AF2269" i="24"/>
  <c r="AF733" i="24"/>
  <c r="AF2402" i="24"/>
  <c r="AF636" i="24"/>
  <c r="AF432" i="24"/>
  <c r="AF1202" i="24"/>
  <c r="AF633" i="24"/>
  <c r="AF2455" i="24"/>
  <c r="AF2719" i="24"/>
  <c r="AF1261" i="24"/>
  <c r="AF2741" i="24"/>
  <c r="AF2501" i="24"/>
  <c r="AF2235" i="24"/>
  <c r="AF1103" i="24"/>
  <c r="AF2203" i="24"/>
  <c r="AF1319" i="24"/>
  <c r="AF919" i="24"/>
  <c r="AF1394" i="24"/>
  <c r="AF729" i="24"/>
  <c r="AF2034" i="24"/>
  <c r="AF1004" i="24"/>
  <c r="AF1491" i="24"/>
  <c r="AF691" i="24"/>
  <c r="AF1037" i="24"/>
  <c r="AF1945" i="24"/>
  <c r="AF2648" i="24"/>
  <c r="AF445" i="24"/>
  <c r="AF2232" i="24"/>
  <c r="AF1721" i="24"/>
  <c r="AF2577" i="24"/>
  <c r="AF1353" i="24"/>
  <c r="AF2490" i="24"/>
  <c r="AF1127" i="24"/>
  <c r="AF2393" i="24"/>
  <c r="AF2298" i="24"/>
  <c r="AF991" i="24"/>
  <c r="AF1219" i="24"/>
  <c r="AF2739" i="24"/>
  <c r="AF1895" i="24"/>
  <c r="AF1799" i="24"/>
  <c r="AF408" i="24"/>
  <c r="AF2625" i="24"/>
  <c r="AF1385" i="24"/>
  <c r="AF261" i="24"/>
  <c r="AF563" i="24"/>
  <c r="AF1496" i="24"/>
  <c r="AF702" i="24"/>
  <c r="AF2175" i="24"/>
  <c r="AF1204" i="24"/>
  <c r="AF1800" i="24"/>
  <c r="AF591" i="24"/>
  <c r="AF1083" i="24"/>
  <c r="AF1979" i="24"/>
  <c r="AF286" i="24"/>
  <c r="AF1896" i="24"/>
  <c r="AF1885" i="24"/>
  <c r="AF781" i="24"/>
  <c r="AF707" i="24"/>
  <c r="AF1403" i="24"/>
  <c r="AF679" i="24"/>
  <c r="AF2009" i="24"/>
  <c r="AF1957" i="24"/>
  <c r="AF429" i="24"/>
  <c r="AF1869" i="24"/>
  <c r="AF1186" i="24"/>
  <c r="AF1089" i="24"/>
  <c r="AF1157" i="24"/>
  <c r="AF637" i="24"/>
  <c r="AF780" i="24"/>
  <c r="AF931" i="24"/>
  <c r="AF1916" i="24"/>
  <c r="AF359" i="24"/>
  <c r="AF2476" i="24"/>
  <c r="AF1147" i="24"/>
  <c r="AF2613" i="24"/>
  <c r="AF1912" i="24"/>
  <c r="AF1746" i="24"/>
  <c r="AF2521" i="24"/>
  <c r="AF535" i="24"/>
  <c r="AF499" i="24"/>
  <c r="AF564" i="24"/>
  <c r="AF1018" i="24"/>
  <c r="AF1065" i="24"/>
  <c r="AF1644" i="24"/>
  <c r="AF735" i="24"/>
  <c r="AF985" i="24"/>
  <c r="AF1468" i="24"/>
  <c r="AF1472" i="24"/>
  <c r="AF2458" i="24"/>
  <c r="AF2466" i="24"/>
  <c r="AF796" i="24"/>
  <c r="AF1731" i="24"/>
  <c r="AF339" i="24"/>
  <c r="AF1887" i="24"/>
  <c r="AF862" i="24"/>
  <c r="AF2017" i="24"/>
  <c r="AF1362" i="24"/>
  <c r="AF1755" i="24"/>
  <c r="AF2534" i="24"/>
  <c r="AF613" i="24"/>
  <c r="AF822" i="24"/>
  <c r="AF1923" i="24"/>
  <c r="AF1989" i="24"/>
  <c r="AF1495" i="24"/>
  <c r="AF622" i="24"/>
  <c r="AF1446" i="24"/>
  <c r="AF2194" i="24"/>
  <c r="AF819" i="24"/>
  <c r="AF2148" i="24"/>
  <c r="AF2597" i="24"/>
  <c r="AF2580" i="24"/>
  <c r="AF2530" i="24"/>
  <c r="AF388" i="24"/>
  <c r="AF1275" i="24"/>
  <c r="AF1182" i="24"/>
  <c r="AF1819" i="24"/>
  <c r="AF320" i="24"/>
  <c r="AF1682" i="24"/>
  <c r="AF630" i="24"/>
  <c r="AF908" i="24"/>
  <c r="AF1013" i="24"/>
  <c r="AF2669" i="24"/>
  <c r="AF2532" i="24"/>
  <c r="AF2252" i="24"/>
  <c r="AF2396" i="24"/>
  <c r="AF2474" i="24"/>
  <c r="AF1845" i="24"/>
  <c r="AF644" i="24"/>
  <c r="AF794" i="24"/>
  <c r="AF851" i="24"/>
  <c r="AF2368" i="24"/>
  <c r="AF863" i="24"/>
  <c r="AF1512" i="24"/>
  <c r="AF965" i="24"/>
  <c r="AF1684" i="24"/>
  <c r="AF2218" i="24"/>
  <c r="AF480" i="24"/>
  <c r="AF2489" i="24"/>
  <c r="AF405" i="24"/>
  <c r="AF890" i="24"/>
  <c r="AF1816" i="24"/>
  <c r="AF1243" i="24"/>
  <c r="AF2398" i="24"/>
  <c r="AF2065" i="24"/>
  <c r="AF1321" i="24"/>
  <c r="AF1082" i="24"/>
  <c r="AF456" i="24"/>
  <c r="AF2596" i="24"/>
  <c r="AF1977" i="24"/>
  <c r="AF1737" i="24"/>
  <c r="AF1355" i="24"/>
  <c r="AF602" i="24"/>
  <c r="AF1802" i="24"/>
  <c r="AF2403" i="24"/>
  <c r="AF1810" i="24"/>
  <c r="AF672" i="24"/>
  <c r="AF1265" i="24"/>
  <c r="AF1646" i="24"/>
  <c r="AF1305" i="24"/>
  <c r="AF1678" i="24"/>
  <c r="AF1773" i="24"/>
  <c r="AF1692" i="24"/>
  <c r="AF1932" i="24"/>
  <c r="AF2377" i="24"/>
  <c r="AF1400" i="24"/>
  <c r="AF1412" i="24"/>
  <c r="AF1445" i="24"/>
  <c r="AF2116" i="24"/>
  <c r="AF2725" i="24"/>
  <c r="AF676" i="24"/>
  <c r="AF2713" i="24"/>
  <c r="AF1183" i="24"/>
  <c r="AF2261" i="24"/>
  <c r="AF2643" i="24"/>
  <c r="AF1545" i="24"/>
  <c r="AF625" i="24"/>
  <c r="AF695" i="24"/>
  <c r="AF2005" i="24"/>
  <c r="AF2529" i="24"/>
  <c r="AF2420" i="24"/>
  <c r="AF810" i="24"/>
  <c r="AF1525" i="24"/>
  <c r="AF2470" i="24"/>
  <c r="AF1765" i="24"/>
  <c r="AF706" i="24"/>
  <c r="AF1095" i="24"/>
  <c r="AF349" i="24"/>
  <c r="AF402" i="24"/>
  <c r="AF2121" i="24"/>
  <c r="AF2161" i="24"/>
  <c r="AF1718" i="24"/>
  <c r="AF1795" i="24"/>
  <c r="AF930" i="24"/>
  <c r="AF2133" i="24"/>
  <c r="AF595" i="24"/>
  <c r="AF2400" i="24"/>
  <c r="AF1296" i="24"/>
  <c r="AF1367" i="24"/>
  <c r="AF2266" i="24"/>
  <c r="AF1162" i="24"/>
  <c r="AF1735" i="24"/>
  <c r="AF2268" i="24"/>
  <c r="AF1251" i="24"/>
  <c r="AF1940" i="24"/>
  <c r="AF587" i="24"/>
  <c r="AF1010" i="24"/>
  <c r="AF1406" i="24"/>
  <c r="AF2702" i="24"/>
  <c r="AF2179" i="24"/>
  <c r="AF1542" i="24"/>
  <c r="AF1354" i="24"/>
  <c r="AF228" i="24"/>
  <c r="AF2539" i="24"/>
  <c r="AF1980" i="24"/>
  <c r="AF1137" i="24"/>
  <c r="AF1105" i="24"/>
  <c r="AF235" i="24"/>
  <c r="AF1224" i="24"/>
  <c r="AF2089" i="24"/>
  <c r="AF2582" i="24"/>
  <c r="AF1430" i="24"/>
  <c r="AF2285" i="24"/>
  <c r="AF604" i="24"/>
  <c r="AF1228" i="24"/>
  <c r="AF1036" i="24"/>
  <c r="AF342" i="24"/>
  <c r="AF626" i="24"/>
  <c r="AF321" i="24"/>
  <c r="AF627" i="24"/>
  <c r="AF2527" i="24"/>
  <c r="AF1438" i="24"/>
  <c r="AF1993" i="24"/>
  <c r="AF2508" i="24"/>
  <c r="AF2205" i="24"/>
  <c r="AF952" i="24"/>
  <c r="AF1626" i="24"/>
  <c r="AF1835" i="24"/>
  <c r="AF2707" i="24"/>
  <c r="AF1811" i="24"/>
  <c r="AF2078" i="24"/>
  <c r="AF2698" i="24"/>
  <c r="AF1876" i="24"/>
  <c r="AF1268" i="24"/>
  <c r="AF1160" i="24"/>
  <c r="AF820" i="24"/>
  <c r="AF542" i="24"/>
  <c r="AF2462" i="24"/>
  <c r="AF705" i="24"/>
  <c r="AF2143" i="24"/>
  <c r="AF2395" i="24"/>
  <c r="AF1456" i="24"/>
  <c r="AF1720" i="24"/>
  <c r="AF806" i="24"/>
  <c r="AF2450" i="24"/>
  <c r="AF2543" i="24"/>
  <c r="AF1909" i="24"/>
  <c r="AF1110" i="24"/>
  <c r="AF2101" i="24"/>
  <c r="AF344" i="24"/>
  <c r="AF1221" i="24"/>
  <c r="AF348" i="24"/>
  <c r="AF840" i="24"/>
  <c r="AF2567" i="24"/>
  <c r="AF2695" i="24"/>
  <c r="AF2351" i="24"/>
  <c r="AF1908" i="24"/>
  <c r="AF2138" i="24"/>
  <c r="AF2538" i="24"/>
  <c r="AF1742" i="24"/>
  <c r="AF1031" i="24"/>
  <c r="AF2464" i="24"/>
  <c r="AF2747" i="24"/>
  <c r="AF1564" i="24"/>
  <c r="AF324" i="24"/>
  <c r="AF1839" i="24"/>
  <c r="AF1744" i="24"/>
  <c r="AF1668" i="24"/>
  <c r="AF465" i="24"/>
  <c r="AF1676" i="24"/>
  <c r="AF2328" i="24"/>
  <c r="AF1560" i="24"/>
  <c r="AF1868" i="24"/>
  <c r="AF538" i="24"/>
  <c r="AF1624" i="24"/>
  <c r="AF1603" i="24"/>
  <c r="AF1827" i="24"/>
  <c r="AF2372" i="24"/>
  <c r="AF2704" i="24"/>
  <c r="AF1615" i="24"/>
  <c r="AF1070" i="24"/>
  <c r="AF2426" i="24"/>
  <c r="AF1310" i="24"/>
  <c r="AF2561" i="24"/>
  <c r="AF1743" i="24"/>
  <c r="AF426" i="24"/>
  <c r="AF258" i="24"/>
  <c r="AF1831" i="24"/>
  <c r="AF330" i="24"/>
  <c r="AF1514" i="24"/>
  <c r="AF1820" i="24"/>
  <c r="AF1936" i="24"/>
  <c r="AF1427" i="24"/>
  <c r="AF2576" i="24"/>
  <c r="AF1871" i="24"/>
  <c r="AF2002" i="24"/>
  <c r="AF1239" i="24"/>
  <c r="AF872" i="24"/>
  <c r="AF1707" i="24"/>
  <c r="AF1119" i="24"/>
  <c r="AF2437" i="24"/>
  <c r="AF1697" i="24"/>
  <c r="AF1055" i="24"/>
  <c r="AF373" i="24"/>
  <c r="AF1090" i="24"/>
  <c r="AF2374" i="24"/>
  <c r="AF1557" i="24"/>
  <c r="AF2678" i="24"/>
  <c r="AF1766" i="24"/>
  <c r="AF1046" i="24"/>
  <c r="AF813" i="24"/>
  <c r="AF2478" i="24"/>
  <c r="AF248" i="24"/>
  <c r="AF2039" i="24"/>
  <c r="AF247" i="24"/>
  <c r="AF2616" i="24"/>
  <c r="AF1782" i="24"/>
  <c r="AF425" i="24"/>
  <c r="AF789" i="24"/>
  <c r="AF1207" i="24"/>
  <c r="AF2282" i="24"/>
  <c r="AF1996" i="24"/>
  <c r="AF1833" i="24"/>
  <c r="AF643" i="24"/>
  <c r="AF2485" i="24"/>
  <c r="AF2056" i="24"/>
  <c r="AF1972" i="24"/>
  <c r="AF2275" i="24"/>
  <c r="AF2338" i="24"/>
  <c r="AF2493" i="24"/>
  <c r="AF2560" i="24"/>
  <c r="AF1272" i="24"/>
  <c r="AF1050" i="24"/>
  <c r="AF1631" i="24"/>
  <c r="AF2188" i="24"/>
  <c r="AF1622" i="24"/>
  <c r="AF854" i="24"/>
  <c r="AF1620" i="24"/>
  <c r="AF442" i="24"/>
  <c r="AF436" i="24"/>
  <c r="AF1938" i="24"/>
  <c r="AF2375" i="24"/>
  <c r="AF2330" i="24"/>
  <c r="AF337" i="24"/>
  <c r="AF2169" i="24"/>
  <c r="AF649" i="24"/>
  <c r="AF606" i="24"/>
  <c r="AF2525" i="24"/>
  <c r="AF296" i="24"/>
  <c r="AF1434" i="24"/>
  <c r="AF2583" i="24"/>
  <c r="AF1917" i="24"/>
  <c r="AF2612" i="24"/>
  <c r="AF1214" i="24"/>
  <c r="AF743" i="24"/>
  <c r="AF817" i="24"/>
  <c r="AF1658" i="24"/>
  <c r="AF434" i="24"/>
  <c r="AF1378" i="24"/>
  <c r="AF1579" i="24"/>
  <c r="AF586" i="24"/>
  <c r="AF2015" i="24"/>
  <c r="AF753" i="24"/>
  <c r="AF1719" i="24"/>
  <c r="AF1611" i="24"/>
  <c r="AF2708" i="24"/>
  <c r="AF1918" i="24"/>
  <c r="AF1521" i="24"/>
  <c r="AF1681" i="24"/>
  <c r="AF2099" i="24"/>
  <c r="AF2540" i="24"/>
  <c r="AF1574" i="24"/>
  <c r="AF655" i="24"/>
  <c r="AF1416" i="24"/>
  <c r="AF2776" i="24"/>
  <c r="AF978" i="24"/>
  <c r="AF496" i="24"/>
  <c r="AF2620" i="24"/>
  <c r="AF2790" i="24"/>
  <c r="AF1732" i="24"/>
  <c r="AF970" i="24"/>
  <c r="AF782" i="24"/>
  <c r="AF1051" i="24"/>
  <c r="AF254" i="24"/>
  <c r="AF2759" i="24"/>
  <c r="AF686" i="24"/>
  <c r="AF2236" i="24"/>
  <c r="AF2141" i="24"/>
  <c r="AF1084" i="24"/>
  <c r="AF410" i="24"/>
  <c r="AF834" i="24"/>
  <c r="AF2283" i="24"/>
  <c r="AF2500" i="24"/>
  <c r="AF2780" i="24"/>
  <c r="AF927" i="24"/>
  <c r="AF1929" i="24"/>
  <c r="AF1783" i="24"/>
  <c r="AF1841" i="24"/>
  <c r="AF2449" i="24"/>
  <c r="AF2184" i="24"/>
  <c r="AF2044" i="24"/>
  <c r="AF989" i="24"/>
  <c r="AF2753" i="24"/>
  <c r="AF2670" i="24"/>
  <c r="AF710" i="24"/>
  <c r="AF354" i="24"/>
  <c r="AF1956" i="24"/>
  <c r="AF1248" i="24"/>
  <c r="AF1134" i="24"/>
  <c r="AF911" i="24"/>
  <c r="AF1933" i="24"/>
  <c r="AF2210" i="24"/>
  <c r="AF2769" i="24"/>
  <c r="AF1600" i="24"/>
  <c r="AF734" i="24"/>
  <c r="AF1605" i="24"/>
  <c r="AF243" i="24"/>
  <c r="AF1485" i="24"/>
  <c r="AF1069" i="24"/>
  <c r="AF948" i="24"/>
  <c r="AF1657" i="24"/>
  <c r="AF1467" i="24"/>
  <c r="AF717" i="24"/>
  <c r="AF889" i="24"/>
  <c r="AF893" i="24"/>
  <c r="AF2029" i="24"/>
  <c r="AF1830" i="24"/>
  <c r="AF1295" i="24"/>
  <c r="AF2091" i="24"/>
  <c r="AF940" i="24"/>
  <c r="AF959" i="24"/>
  <c r="AF571" i="24"/>
  <c r="AF1264" i="24"/>
  <c r="AF1088" i="24"/>
  <c r="AF1213" i="24"/>
  <c r="AF239" i="24"/>
  <c r="AF530" i="24"/>
  <c r="AF1553" i="24"/>
  <c r="AF1693" i="24"/>
  <c r="AF1867" i="24"/>
  <c r="AF1475" i="24"/>
  <c r="AF417" i="24"/>
  <c r="AF1998" i="24"/>
  <c r="AF1950" i="24"/>
  <c r="AF1662" i="24"/>
  <c r="AF2574" i="24"/>
  <c r="AF2391" i="24"/>
  <c r="AF2778" i="24"/>
  <c r="AF1975" i="24"/>
  <c r="AF750" i="24"/>
  <c r="AF2628" i="24"/>
  <c r="AF2761" i="24"/>
  <c r="AF1872" i="24"/>
  <c r="AF1177" i="24"/>
  <c r="AF1902" i="24"/>
  <c r="AF2068" i="24"/>
  <c r="AF382" i="24"/>
  <c r="AF2224" i="24"/>
  <c r="AF2689" i="24"/>
  <c r="AF1060" i="24"/>
  <c r="AF2654" i="24"/>
  <c r="AF1488" i="24"/>
  <c r="AF1669" i="24"/>
  <c r="AF476" i="24"/>
  <c r="AF2526" i="24"/>
  <c r="AF553" i="24"/>
  <c r="AF1155" i="24"/>
  <c r="AF252" i="24"/>
  <c r="AF2773" i="24"/>
  <c r="AF823" i="24"/>
  <c r="AF2665" i="24"/>
  <c r="AF1476" i="24"/>
  <c r="AF2440" i="24"/>
  <c r="AF857" i="24"/>
  <c r="AF287" i="24"/>
  <c r="AF2785" i="24"/>
  <c r="AF764" i="24"/>
  <c r="AF664" i="24"/>
  <c r="AF2622" i="24"/>
  <c r="AF1109" i="24"/>
  <c r="AF1637" i="24"/>
  <c r="AF1017" i="24"/>
  <c r="AF939" i="24"/>
  <c r="AF392" i="24"/>
  <c r="AF2661" i="24"/>
  <c r="AF1823" i="24"/>
  <c r="AF2378" i="24"/>
  <c r="AF269" i="24"/>
  <c r="AF1061" i="24"/>
  <c r="AF2483" i="24"/>
  <c r="AF2114" i="24"/>
  <c r="AF555" i="24"/>
  <c r="AF1152" i="24"/>
  <c r="AF234" i="24"/>
  <c r="AF1482" i="24"/>
  <c r="AF1874" i="24"/>
  <c r="AF2309" i="24"/>
  <c r="AF294" i="24"/>
  <c r="AF2305" i="24"/>
  <c r="AF665" i="24"/>
  <c r="AF2093" i="24"/>
  <c r="AF1166" i="24"/>
  <c r="AF1866" i="24"/>
  <c r="AF1357" i="24"/>
  <c r="AF1008" i="24"/>
  <c r="AF1346" i="24"/>
  <c r="AF900" i="24"/>
  <c r="AF2786" i="24"/>
  <c r="AF1212" i="24"/>
  <c r="AF1534" i="24"/>
  <c r="AF2075" i="24"/>
  <c r="AF422" i="24"/>
  <c r="AF1193" i="24"/>
  <c r="AF2557" i="24"/>
  <c r="AF1470" i="24"/>
  <c r="AF1882" i="24"/>
  <c r="AF1824" i="24"/>
  <c r="AF1258" i="24"/>
  <c r="AF331" i="24"/>
  <c r="AF2679" i="24"/>
  <c r="AF1549" i="24"/>
  <c r="AF221" i="24"/>
  <c r="AF1675" i="24"/>
  <c r="AF777" i="24"/>
  <c r="AF826" i="24"/>
  <c r="AF2313" i="24"/>
  <c r="AF2419" i="24"/>
  <c r="AF1407" i="24"/>
  <c r="AF662" i="24"/>
  <c r="AF416" i="24"/>
  <c r="AF2012" i="24"/>
  <c r="AF1539" i="24"/>
  <c r="AF1121" i="24"/>
  <c r="AF1000" i="24"/>
  <c r="AF1148" i="24"/>
  <c r="AF1796" i="24"/>
  <c r="AF2518" i="24"/>
  <c r="AF1024" i="24"/>
  <c r="AF2664" i="24"/>
  <c r="AF1568" i="24"/>
  <c r="AF2592" i="24"/>
  <c r="AF648" i="24"/>
  <c r="AF1939" i="24"/>
  <c r="AF1730" i="24"/>
  <c r="AF2672" i="24"/>
  <c r="AF2482" i="24"/>
  <c r="AF1580" i="24"/>
  <c r="AF1634" i="24"/>
  <c r="AF847" i="24"/>
  <c r="AF494" i="24"/>
  <c r="AF265" i="24"/>
  <c r="AF928" i="24"/>
  <c r="AF690" i="24"/>
  <c r="AF305" i="24"/>
  <c r="AF673" i="24"/>
  <c r="AF881" i="24"/>
  <c r="AF482" i="24"/>
  <c r="AF2736" i="24"/>
  <c r="AF614" i="24"/>
  <c r="AF2247" i="24"/>
  <c r="AF2329" i="24"/>
  <c r="AF2799" i="24"/>
  <c r="AF2366" i="24"/>
  <c r="AF302" i="24"/>
  <c r="AF369" i="24"/>
  <c r="AF1238" i="24"/>
  <c r="AF2452" i="24"/>
  <c r="AF284" i="24"/>
  <c r="AF2619" i="24"/>
  <c r="AF1708" i="24"/>
  <c r="AF1788" i="24"/>
  <c r="AF816" i="24"/>
  <c r="AF1451" i="24"/>
  <c r="AF1045" i="24"/>
  <c r="AF2373" i="24"/>
  <c r="AF2301" i="24"/>
  <c r="AF2379" i="24"/>
  <c r="AF621" i="24"/>
  <c r="AF2793" i="24"/>
  <c r="AF395" i="24"/>
  <c r="AF2014" i="24"/>
  <c r="AF1999" i="24"/>
  <c r="AF1066" i="24"/>
  <c r="AF1247" i="24"/>
  <c r="AF1077" i="24"/>
  <c r="AF982" i="24"/>
  <c r="AF1471" i="24"/>
  <c r="AF850" i="24"/>
  <c r="AF880" i="24"/>
  <c r="AF2097" i="24"/>
  <c r="AF2553" i="24"/>
  <c r="AF812" i="24"/>
  <c r="AF1508" i="24"/>
  <c r="AF2023" i="24"/>
  <c r="AF2745" i="24"/>
  <c r="AF285" i="24"/>
  <c r="AF1347" i="24"/>
  <c r="AF338" i="24"/>
  <c r="AF1828" i="24"/>
  <c r="AF1593" i="24"/>
  <c r="AF529" i="24"/>
  <c r="AF1547" i="24"/>
  <c r="AF1437" i="24"/>
  <c r="AF1044" i="24"/>
  <c r="AF443" i="24"/>
  <c r="AF1057" i="24"/>
  <c r="AF1672" i="24"/>
  <c r="AF1988" i="24"/>
  <c r="AF935" i="24"/>
  <c r="AF1625" i="24"/>
  <c r="AF1107" i="24"/>
  <c r="AF2680" i="24"/>
  <c r="AF397" i="24"/>
  <c r="AF1280" i="24"/>
  <c r="AF650" i="24"/>
  <c r="AF2225" i="24"/>
  <c r="AF1039" i="24"/>
  <c r="AF2385" i="24"/>
  <c r="AF1297" i="24"/>
  <c r="AF1947" i="24"/>
  <c r="AF1332" i="24"/>
  <c r="AF623" i="24"/>
  <c r="AF2036" i="24"/>
  <c r="AF1904" i="24"/>
  <c r="AF2498" i="24"/>
  <c r="AF2243" i="24"/>
  <c r="AF503" i="24"/>
  <c r="AF1198" i="24"/>
  <c r="AF2430" i="24"/>
  <c r="AF2424" i="24"/>
  <c r="AF579" i="24"/>
  <c r="AF390" i="24"/>
  <c r="AF1309" i="24"/>
  <c r="AF2685" i="24"/>
  <c r="AF1143" i="24"/>
  <c r="AF2234" i="24"/>
  <c r="AF2614" i="24"/>
  <c r="AF278" i="24"/>
  <c r="AF276" i="24"/>
  <c r="AF725" i="24"/>
  <c r="AF2022" i="24"/>
  <c r="AF685" i="24"/>
  <c r="AF2382" i="24"/>
  <c r="AF2209" i="24"/>
  <c r="AF1559" i="24"/>
  <c r="AF1774" i="24"/>
  <c r="AF832" i="24"/>
  <c r="AF2626" i="24"/>
  <c r="AF1145" i="24"/>
  <c r="AF2079" i="24"/>
  <c r="AF483" i="24"/>
  <c r="AF2288" i="24"/>
  <c r="AF1920" i="24"/>
  <c r="AF711" i="24"/>
  <c r="AF2651" i="24"/>
  <c r="AF608" i="24"/>
  <c r="AF1630" i="24"/>
  <c r="AF2076" i="24"/>
  <c r="AF1573" i="24"/>
  <c r="AF634" i="24"/>
  <c r="AF2304" i="24"/>
  <c r="AF2237" i="24"/>
  <c r="AF444" i="24"/>
  <c r="AF2073" i="24"/>
  <c r="AF1356" i="24"/>
  <c r="AF744" i="24"/>
  <c r="AF2605" i="24"/>
  <c r="AF1650" i="24"/>
  <c r="AF1949" i="24"/>
  <c r="AF688" i="24"/>
  <c r="AF2060" i="24"/>
  <c r="AF1315" i="24"/>
  <c r="AF2602" i="24"/>
  <c r="AF2388" i="24"/>
  <c r="AF652" i="24"/>
  <c r="AF2609" i="24"/>
  <c r="AF1401" i="24"/>
  <c r="AF2166" i="24"/>
  <c r="AF2549" i="24"/>
  <c r="AF1935" i="24"/>
  <c r="AF2278" i="24"/>
  <c r="AF1336" i="24"/>
  <c r="AF1544" i="24"/>
  <c r="AF1919" i="24"/>
  <c r="AF752" i="24"/>
  <c r="AF281" i="24"/>
  <c r="AF1210" i="24"/>
  <c r="AF1801" i="24"/>
  <c r="AF565" i="24"/>
  <c r="AF1433" i="24"/>
  <c r="AF2427" i="24"/>
  <c r="AF1205" i="24"/>
  <c r="AF767" i="24"/>
  <c r="AF2000" i="24"/>
  <c r="AF769" i="24"/>
  <c r="AF1959" i="24"/>
  <c r="AF1415" i="24"/>
  <c r="AF2556" i="24"/>
  <c r="AF699" i="24"/>
  <c r="AF2705" i="24"/>
  <c r="AF1965" i="24"/>
  <c r="AF1687" i="24"/>
  <c r="AF1709" i="24"/>
  <c r="AF1187" i="24"/>
  <c r="AF433" i="24"/>
  <c r="AF770" i="24"/>
  <c r="AF2655" i="24"/>
  <c r="AF1992" i="24"/>
  <c r="AF2506" i="24"/>
  <c r="AF1404" i="24"/>
  <c r="AF1389" i="24"/>
  <c r="AF577" i="24"/>
  <c r="AF566" i="24"/>
  <c r="AF2460" i="24"/>
  <c r="AF914" i="24"/>
  <c r="AF301" i="24"/>
  <c r="AF2363" i="24"/>
  <c r="AF999" i="24"/>
  <c r="AF1550" i="24"/>
  <c r="AF2274" i="24"/>
  <c r="AF1452" i="24"/>
  <c r="AF858" i="24"/>
  <c r="AF849" i="24"/>
  <c r="AF1140" i="24"/>
  <c r="AF1059" i="24"/>
  <c r="AF1262" i="24"/>
  <c r="AF2394" i="24"/>
  <c r="AF2399" i="24"/>
  <c r="AF548" i="24"/>
  <c r="AF490" i="24"/>
  <c r="AF1397" i="24"/>
  <c r="AF599" i="24"/>
  <c r="AF2254" i="24"/>
  <c r="AF1519" i="24"/>
  <c r="AF974" i="24"/>
  <c r="AF1092" i="24"/>
  <c r="AF1733" i="24"/>
  <c r="AF2019" i="24"/>
  <c r="AF2636" i="24"/>
  <c r="AF972" i="24"/>
  <c r="AF489" i="24"/>
  <c r="AF1195" i="24"/>
  <c r="AF427" i="24"/>
  <c r="AF1691" i="24"/>
  <c r="AF1898" i="24"/>
  <c r="AF1566" i="24"/>
  <c r="AF1328" i="24"/>
  <c r="AF2640" i="24"/>
  <c r="AF1865" i="24"/>
  <c r="AF2215" i="24"/>
  <c r="AF2147" i="24"/>
  <c r="AF2469" i="24"/>
  <c r="AF2320" i="24"/>
  <c r="AF2710" i="24"/>
  <c r="AF314" i="24"/>
  <c r="AF1431" i="24"/>
  <c r="AF561" i="24"/>
  <c r="AF1379" i="24"/>
  <c r="AF2694" i="24"/>
  <c r="AF1680" i="24"/>
  <c r="AF1331" i="24"/>
  <c r="AF2300" i="24"/>
  <c r="AF1834" i="24"/>
  <c r="AF713" i="24"/>
  <c r="AF1513" i="24"/>
  <c r="AF2438" i="24"/>
  <c r="AF1292" i="24"/>
  <c r="AF1531" i="24"/>
  <c r="AF1359" i="24"/>
  <c r="AF1623" i="24"/>
  <c r="AF1575" i="24"/>
  <c r="AF1019" i="24"/>
  <c r="AF569" i="24"/>
  <c r="AC1682" i="10"/>
  <c r="AC1687" i="10" s="1"/>
  <c r="AC1701" i="10" s="1"/>
  <c r="AC2212" i="10"/>
  <c r="AC1741" i="10" l="1"/>
  <c r="AC1742" i="10" s="1"/>
  <c r="AC1743" i="10" s="1"/>
  <c r="AC1752" i="10" s="1"/>
  <c r="AC1753" i="10" s="1"/>
  <c r="AC1754" i="10" s="1"/>
  <c r="AC1755" i="10" s="1"/>
  <c r="AC1756" i="10" s="1"/>
  <c r="AC1760" i="10" s="1"/>
  <c r="AC1761" i="10" s="1"/>
  <c r="AC1774" i="10" s="1"/>
  <c r="AC1791" i="10" s="1"/>
  <c r="AC1820" i="10" s="1"/>
  <c r="AC1832" i="10" s="1"/>
  <c r="AC1874" i="10" s="1"/>
  <c r="AC1876" i="10" s="1"/>
  <c r="AC1877" i="10" s="1"/>
  <c r="AC1878" i="10" s="1"/>
  <c r="AC1879" i="10" s="1"/>
  <c r="AC1881" i="10" s="1"/>
  <c r="AC1950" i="10" s="1"/>
  <c r="AC1714" i="10"/>
  <c r="AC1715" i="10" s="1"/>
  <c r="AC1716" i="10" s="1"/>
  <c r="AC1717" i="10" s="1"/>
  <c r="AC1718" i="10" s="1"/>
  <c r="AC1719" i="10" s="1"/>
  <c r="AC1720" i="10" s="1"/>
  <c r="AC1721" i="10" s="1"/>
  <c r="AC1722" i="10" s="1"/>
  <c r="AC1723" i="10" s="1"/>
  <c r="AE2" i="24"/>
  <c r="AE4" i="24"/>
  <c r="AC1954" i="10"/>
  <c r="AC1962" i="10" s="1"/>
  <c r="AC2213" i="10"/>
  <c r="AC2122" i="10" l="1"/>
  <c r="AC2025" i="10"/>
  <c r="AC2037" i="10" s="1"/>
  <c r="AC2072" i="10" s="1"/>
  <c r="AC2096" i="10" s="1"/>
  <c r="AC2097" i="10" s="1"/>
  <c r="AC2214" i="10"/>
  <c r="AC2133" i="10" l="1"/>
  <c r="AC2098" i="10"/>
  <c r="AC2099" i="10" s="1"/>
  <c r="AC2100" i="10" s="1"/>
  <c r="AC2101" i="10" s="1"/>
  <c r="AC2102" i="10" s="1"/>
  <c r="AC2103" i="10" s="1"/>
  <c r="AC2104" i="10" s="1"/>
  <c r="AC2105" i="10" s="1"/>
  <c r="AC2106" i="10" s="1"/>
  <c r="AC2107" i="10" s="1"/>
  <c r="AC2109" i="10" s="1"/>
  <c r="AC2116" i="10" s="1"/>
  <c r="AC2215" i="10"/>
  <c r="AC2132" i="10" l="1"/>
  <c r="AC2150" i="10" s="1"/>
  <c r="AC2154" i="10" s="1"/>
  <c r="AC2162" i="10" s="1"/>
  <c r="AC2165" i="10" s="1"/>
  <c r="AC2166" i="10" s="1"/>
  <c r="AC2197" i="10" s="1"/>
  <c r="AC2198" i="10" s="1"/>
  <c r="AC2199" i="10" s="1"/>
  <c r="AC2200" i="10" s="1"/>
  <c r="AC2201" i="10" s="1"/>
  <c r="AC2202" i="10" s="1"/>
  <c r="AC2203" i="10" s="1"/>
  <c r="AC2204" i="10" s="1"/>
  <c r="AC2205" i="10" s="1"/>
  <c r="AC2216" i="10"/>
  <c r="AC2217" i="10" l="1"/>
  <c r="AC2218" i="10" l="1"/>
  <c r="AC2219" i="10" l="1"/>
  <c r="AC2220" i="10" l="1"/>
  <c r="AC2221" i="10" s="1"/>
  <c r="AC2222" i="10" s="1"/>
  <c r="AC2223" i="10" s="1"/>
  <c r="AC2245" i="10" s="1"/>
  <c r="AC2246" i="10" s="1"/>
  <c r="AC2247" i="10" s="1"/>
  <c r="AC2248" i="10" s="1"/>
  <c r="AC2263" i="10" s="1"/>
  <c r="AC2492" i="10" l="1"/>
  <c r="AC2329" i="10"/>
  <c r="AC2333" i="10" l="1"/>
  <c r="AC2759" i="10"/>
  <c r="AC2341" i="10" l="1"/>
  <c r="AC2343" i="10" l="1"/>
  <c r="AC2355" i="10" l="1"/>
  <c r="AC2356" i="10" l="1"/>
  <c r="AC2357" i="10" l="1"/>
  <c r="AC2358" i="10" l="1"/>
  <c r="AC2359" i="10" l="1"/>
  <c r="AC2360" i="10" l="1"/>
  <c r="AC2361" i="10" l="1"/>
  <c r="AC2362" i="10" l="1"/>
  <c r="AC2373" i="10" l="1"/>
  <c r="AC2376" i="10" l="1"/>
  <c r="AC2379" i="10" l="1"/>
  <c r="AC2380" i="10" l="1"/>
  <c r="AC2381" i="10" l="1"/>
  <c r="AC2382" i="10" l="1"/>
  <c r="AC2383" i="10" l="1"/>
  <c r="AC2384" i="10" l="1"/>
  <c r="AC2385" i="10" l="1"/>
  <c r="AC2386" i="10" l="1"/>
  <c r="AC2387" i="10" l="1"/>
  <c r="AC2388" i="10" s="1"/>
  <c r="AC2406" i="10" s="1"/>
  <c r="AC2444" i="10" s="1"/>
  <c r="AC2451" i="10" s="1"/>
  <c r="AC2454" i="10" s="1"/>
  <c r="AC2461" i="10" s="1"/>
  <c r="AC2481" i="10" s="1"/>
  <c r="AC2506" i="10" s="1"/>
  <c r="AC2516" i="10" s="1"/>
  <c r="AC2534" i="10" s="1"/>
  <c r="AC2536" i="10" s="1"/>
  <c r="AC2537" i="10" s="1"/>
  <c r="AC2551" i="10" s="1"/>
  <c r="AC2593" i="10" s="1"/>
  <c r="AC2594" i="10" s="1"/>
  <c r="AC2595" i="10" s="1"/>
  <c r="AC2617" i="10" s="1"/>
  <c r="AC2626" i="10" s="1"/>
  <c r="AC2658" i="10" s="1"/>
  <c r="AC2664" i="10" s="1"/>
  <c r="AC2696" i="10" s="1"/>
  <c r="AC2737" i="10" s="1"/>
  <c r="AC2738" i="10" s="1"/>
  <c r="AC2747" i="10" s="1"/>
  <c r="AC2751" i="10" s="1"/>
  <c r="AC2754" i="10" s="1"/>
  <c r="AC2760" i="10" s="1"/>
  <c r="AC2761" i="10" s="1"/>
  <c r="AC2762" i="10" s="1"/>
  <c r="AC2763" i="10" s="1"/>
  <c r="AC2764" i="10" s="1"/>
  <c r="AC2765" i="10" s="1"/>
  <c r="AC2766" i="10" s="1"/>
  <c r="AC2767" i="10" s="1"/>
  <c r="AC2768" i="10" s="1"/>
  <c r="AC2769" i="10" s="1"/>
  <c r="AC2770" i="10" s="1"/>
  <c r="AC2771" i="10" s="1"/>
  <c r="AC2772" i="10" s="1"/>
  <c r="AC2773" i="10" s="1"/>
  <c r="AC2774" i="10" s="1"/>
  <c r="AC2775" i="10" s="1"/>
  <c r="AC2776" i="10" s="1"/>
  <c r="AC2777" i="10" s="1"/>
  <c r="AC2778" i="10" s="1"/>
  <c r="AC2779" i="10" s="1"/>
  <c r="AC2780" i="10" s="1"/>
  <c r="AC2786" i="10" s="1"/>
  <c r="AC2787" i="10" s="1"/>
  <c r="AC2792" i="10" s="1"/>
  <c r="AF979" i="10" s="1"/>
  <c r="AF2187" i="10"/>
  <c r="AF1970" i="10"/>
  <c r="AF1933" i="10"/>
  <c r="AF1476" i="10"/>
  <c r="AF2074" i="10"/>
  <c r="AF674" i="10"/>
  <c r="AF1263" i="10"/>
  <c r="AF1275" i="10"/>
  <c r="AF954" i="10"/>
  <c r="AF2355" i="10"/>
  <c r="AF1170" i="10"/>
  <c r="AF1257" i="10"/>
  <c r="AF271" i="10"/>
  <c r="AF942" i="10"/>
  <c r="AF2081" i="10"/>
  <c r="AF956" i="10"/>
  <c r="AF825" i="10"/>
  <c r="AF1004" i="10"/>
  <c r="AF2312" i="10"/>
  <c r="AF294" i="10"/>
  <c r="AF1874" i="10"/>
  <c r="AF2638" i="10"/>
  <c r="AF1725" i="10"/>
  <c r="AF2711" i="10"/>
  <c r="AF2564" i="10"/>
  <c r="AF1587" i="10"/>
  <c r="AF1014" i="10"/>
  <c r="AF1191" i="10"/>
  <c r="AF1133" i="10"/>
  <c r="AF2420" i="10"/>
  <c r="AF2015" i="10"/>
  <c r="AF264" i="10"/>
  <c r="AF1551" i="10"/>
  <c r="AF1859" i="10"/>
  <c r="AF1377" i="10"/>
  <c r="AF1234" i="10"/>
  <c r="AF346" i="10"/>
  <c r="AF1084" i="10"/>
  <c r="AF1093" i="10"/>
  <c r="AF2620" i="10"/>
  <c r="AF2249" i="10"/>
  <c r="AF877" i="10"/>
  <c r="AF1394" i="10"/>
  <c r="AF1292" i="10"/>
  <c r="AF637" i="10"/>
  <c r="AF406" i="10"/>
  <c r="AF2553" i="10"/>
  <c r="AF1946" i="10"/>
  <c r="AF1820" i="10"/>
  <c r="AF743" i="10"/>
  <c r="AF2231" i="10"/>
  <c r="AF2009" i="10"/>
  <c r="AF404" i="10"/>
  <c r="AF1331" i="10"/>
  <c r="AF1196" i="10"/>
  <c r="AF654" i="10"/>
  <c r="AF609" i="10"/>
  <c r="AF1871" i="10"/>
  <c r="AF1471" i="10"/>
  <c r="AF467" i="10"/>
  <c r="AF1179" i="10"/>
  <c r="AF265" i="10"/>
  <c r="AF2183" i="10"/>
  <c r="AF1987" i="10"/>
  <c r="AF2313" i="10"/>
  <c r="AF1120" i="10"/>
  <c r="AF2624" i="10"/>
  <c r="AF1643" i="10"/>
  <c r="AF2305" i="10"/>
  <c r="AF1950" i="10"/>
  <c r="AF1959" i="10"/>
  <c r="AF2199" i="10"/>
  <c r="AF2533" i="10"/>
  <c r="AF1880" i="10"/>
  <c r="AF2480" i="10"/>
  <c r="AF2105" i="10"/>
  <c r="AF2681" i="10"/>
  <c r="AF1303" i="10"/>
  <c r="AF2178" i="10"/>
  <c r="AF2092" i="10"/>
  <c r="AF984" i="10"/>
  <c r="AF822" i="10"/>
  <c r="AF1739" i="10"/>
  <c r="AF2373" i="10"/>
  <c r="AF1698" i="10"/>
  <c r="AF955" i="10"/>
  <c r="AF475" i="10"/>
  <c r="AF1333" i="10"/>
  <c r="AF588" i="10"/>
  <c r="AF1214" i="10"/>
  <c r="AF1025" i="10"/>
  <c r="AF1466" i="10"/>
  <c r="AF2136" i="10"/>
  <c r="AF632" i="10"/>
  <c r="AF2490" i="10"/>
  <c r="AF2572" i="10"/>
  <c r="AF405" i="10"/>
  <c r="AF1857" i="10"/>
  <c r="AF1789" i="10"/>
  <c r="AF920" i="10"/>
  <c r="AF1763" i="10"/>
  <c r="AF1929" i="10"/>
  <c r="AF907" i="10"/>
  <c r="AF2634" i="10"/>
  <c r="AF846" i="10"/>
  <c r="AF1566" i="10"/>
  <c r="AF1571" i="10"/>
  <c r="AF1096" i="10"/>
  <c r="AF2180" i="10"/>
  <c r="AF1375" i="10"/>
  <c r="AF390" i="10"/>
  <c r="AF706" i="10"/>
  <c r="AF2393" i="10"/>
  <c r="AF2375" i="10"/>
  <c r="AF2413" i="10"/>
  <c r="AF329" i="10"/>
  <c r="AF492" i="10"/>
  <c r="AF886" i="10"/>
  <c r="AF2082" i="10"/>
  <c r="AF577" i="10"/>
  <c r="AF1072" i="10"/>
  <c r="AF2410" i="10"/>
  <c r="AF2492" i="10"/>
  <c r="AF2427" i="10"/>
  <c r="AF2100" i="10"/>
  <c r="AF2796" i="10"/>
  <c r="AF2763" i="10"/>
  <c r="AF309" i="10"/>
  <c r="AF2451" i="10"/>
  <c r="AF1426" i="10"/>
  <c r="AF1478" i="10"/>
  <c r="AF358" i="10"/>
  <c r="AF1638" i="10"/>
  <c r="AF285" i="10"/>
  <c r="AF1585" i="10"/>
  <c r="AF992" i="10"/>
  <c r="AF2056" i="10"/>
  <c r="AF661" i="10"/>
  <c r="AF578" i="10"/>
  <c r="AF1116" i="10"/>
  <c r="AF2011" i="10"/>
  <c r="AF1341" i="10"/>
  <c r="AF2099" i="10"/>
  <c r="AF1431" i="10"/>
  <c r="AF2330" i="10"/>
  <c r="AF331" i="10"/>
  <c r="AF1412" i="10"/>
  <c r="AF1318" i="10"/>
  <c r="AF2724" i="10"/>
  <c r="AF1255" i="10"/>
  <c r="AF1841" i="10"/>
  <c r="AF1887" i="10"/>
  <c r="AF778" i="10"/>
  <c r="AF355" i="10"/>
  <c r="AF1757" i="10"/>
  <c r="AF801" i="10"/>
  <c r="AF1311" i="10"/>
  <c r="AF472" i="10"/>
  <c r="AF847" i="10"/>
  <c r="AF926" i="10"/>
  <c r="AF1785" i="10"/>
  <c r="AF2617" i="10"/>
  <c r="AF2007" i="10"/>
  <c r="AF936" i="10"/>
  <c r="AF2792" i="10"/>
  <c r="AF1233" i="10"/>
  <c r="AF477" i="10"/>
  <c r="AF2522" i="10"/>
  <c r="AF1868" i="10"/>
  <c r="AF2465" i="10"/>
  <c r="AF1883" i="10"/>
  <c r="AF786" i="10"/>
  <c r="AF1631" i="10"/>
  <c r="AF419" i="10"/>
  <c r="AF2264" i="10"/>
  <c r="AF1027" i="10"/>
  <c r="AF2734" i="10"/>
  <c r="AF533" i="10"/>
  <c r="AF1690" i="10"/>
  <c r="AF520" i="10"/>
  <c r="AF915" i="10"/>
  <c r="AF2159" i="10"/>
  <c r="AF947" i="10"/>
  <c r="AF1427" i="10"/>
  <c r="AF352" i="10"/>
  <c r="AF1537" i="10"/>
  <c r="AF1642" i="10"/>
  <c r="AF1653" i="10"/>
  <c r="AF2214" i="10"/>
  <c r="AF862" i="10"/>
  <c r="AF731" i="10"/>
  <c r="AF642" i="10"/>
  <c r="AF1371" i="10"/>
  <c r="AF502" i="10"/>
  <c r="AF685" i="10"/>
  <c r="AF1754" i="10"/>
  <c r="AF2714" i="10"/>
  <c r="AF698" i="10"/>
  <c r="AF2059" i="10"/>
  <c r="AF1877" i="10"/>
  <c r="AF1534" i="10"/>
  <c r="AF1235" i="10"/>
  <c r="AF650" i="10"/>
  <c r="AF606" i="10"/>
  <c r="AF1909" i="10"/>
  <c r="AF865" i="10"/>
  <c r="AF1063" i="10"/>
  <c r="AF844" i="10"/>
  <c r="AF1981" i="10"/>
  <c r="AF1840" i="10"/>
  <c r="AF429" i="10"/>
  <c r="AF2188" i="10"/>
  <c r="AF2463" i="10"/>
  <c r="AF699" i="10"/>
  <c r="AF449" i="10"/>
  <c r="AF546" i="10"/>
  <c r="AF572" i="10"/>
  <c r="AF1747" i="10"/>
  <c r="AF1028" i="10"/>
  <c r="AF1181" i="10"/>
  <c r="AF2536" i="10"/>
  <c r="AF1975" i="10"/>
  <c r="AF1967" i="10"/>
  <c r="AF1073" i="10"/>
  <c r="AF1680" i="10"/>
  <c r="AF2556" i="10"/>
  <c r="AF2047" i="10"/>
  <c r="AF1463" i="10"/>
  <c r="AF2670" i="10"/>
  <c r="AF550" i="10"/>
  <c r="AF1497" i="10"/>
  <c r="AF1314" i="10"/>
  <c r="AF1884" i="10"/>
  <c r="AF1379" i="10"/>
  <c r="AF413" i="10"/>
  <c r="AF342" i="10"/>
  <c r="AF949" i="10"/>
  <c r="AF1151" i="10"/>
  <c r="AF2528" i="10"/>
  <c r="AF1202" i="10"/>
  <c r="AF1697" i="10"/>
  <c r="AF1965" i="10"/>
  <c r="AF2719" i="10"/>
  <c r="AF2767" i="10"/>
  <c r="AF944" i="10"/>
  <c r="AF1388" i="10"/>
  <c r="AF1704" i="10"/>
  <c r="AF2446" i="10"/>
  <c r="AF1044" i="10"/>
  <c r="AF751" i="10"/>
  <c r="AF668" i="10"/>
  <c r="AF860" i="10"/>
  <c r="AF2181" i="10"/>
  <c r="AF508" i="10"/>
  <c r="AF2103" i="10"/>
  <c r="AF2037" i="10"/>
  <c r="AF2608" i="10"/>
  <c r="AF299" i="10"/>
  <c r="AF1262" i="10"/>
  <c r="AF2520" i="10"/>
  <c r="AF297" i="10"/>
  <c r="AF488" i="10"/>
  <c r="AF1843" i="10"/>
  <c r="AF373" i="10"/>
  <c r="AF1059" i="10"/>
  <c r="AF1498" i="10"/>
  <c r="AF1771" i="10"/>
  <c r="AF830" i="10"/>
  <c r="AF2434" i="10"/>
  <c r="AF670" i="10"/>
  <c r="AF2754" i="10"/>
  <c r="AF2064" i="10"/>
  <c r="AF867" i="10"/>
  <c r="AF349" i="10"/>
  <c r="AF1007" i="10"/>
  <c r="AF2529" i="10"/>
  <c r="AF750" i="10"/>
  <c r="AF2751" i="10"/>
  <c r="AF1100" i="10"/>
  <c r="AF1960" i="10"/>
  <c r="AF1976" i="10"/>
  <c r="AF1315" i="10"/>
  <c r="AF651" i="10"/>
  <c r="AF1596" i="10"/>
  <c r="AF1656" i="10"/>
  <c r="AF1790" i="10"/>
  <c r="AF2010" i="10"/>
  <c r="AF1995" i="10"/>
  <c r="AF1440" i="10"/>
  <c r="AF1663" i="10"/>
  <c r="AF2512" i="10"/>
  <c r="AF2169" i="10"/>
  <c r="AF943" i="10"/>
  <c r="AF1568" i="10"/>
  <c r="AF1272" i="10"/>
  <c r="AF2757" i="10"/>
  <c r="AF1864" i="10"/>
  <c r="AF393" i="10"/>
  <c r="AF2272" i="10"/>
  <c r="AF2342" i="10"/>
  <c r="AF2396" i="10"/>
  <c r="AF2160" i="10"/>
  <c r="AF790" i="10"/>
  <c r="AF1150" i="10"/>
  <c r="AF2107" i="10"/>
  <c r="AF680" i="10"/>
  <c r="AF2454" i="10"/>
  <c r="AF2415" i="10"/>
  <c r="AF570" i="10"/>
  <c r="AF416" i="10"/>
  <c r="AF2282" i="10"/>
  <c r="AF525" i="10"/>
  <c r="AF2019" i="10"/>
  <c r="AF2588" i="10"/>
  <c r="AF2798" i="10"/>
  <c r="AF1177" i="10"/>
  <c r="AF1948" i="10"/>
  <c r="AF633" i="10"/>
  <c r="AF447" i="10"/>
  <c r="AF1354" i="10"/>
  <c r="AF1910" i="10"/>
  <c r="AF2683" i="10"/>
  <c r="AF1983" i="10"/>
  <c r="AF2787" i="10"/>
  <c r="AF2277" i="10"/>
  <c r="AF2576" i="10"/>
  <c r="AF641" i="10"/>
  <c r="AF1336" i="10"/>
  <c r="AF2253" i="10"/>
  <c r="AF1579" i="10"/>
  <c r="AF845" i="10"/>
  <c r="AF1035" i="10"/>
  <c r="AF1148" i="10"/>
  <c r="AF300" i="10"/>
  <c r="AF2279" i="10"/>
  <c r="AF1015" i="10"/>
  <c r="AF1036" i="10"/>
  <c r="AF2541" i="10"/>
  <c r="AF2119" i="10"/>
  <c r="AF2236" i="10"/>
  <c r="AF2198" i="10"/>
  <c r="AF1845" i="10"/>
  <c r="AF2544" i="10"/>
  <c r="AF940" i="10"/>
  <c r="AF1040" i="10"/>
  <c r="AF2308" i="10"/>
  <c r="AF604" i="10"/>
  <c r="AF677" i="10"/>
  <c r="AF795" i="10"/>
  <c r="AF1242" i="10"/>
  <c r="AF2027" i="10"/>
  <c r="AF450" i="10"/>
  <c r="AF507" i="10"/>
  <c r="AF2742" i="10"/>
  <c r="AF1949" i="10"/>
  <c r="AF499" i="10"/>
  <c r="AF1533" i="10"/>
  <c r="AF2436" i="10"/>
  <c r="AF337" i="10"/>
  <c r="AF2458" i="10"/>
  <c r="AF330" i="10"/>
  <c r="AF460" i="10"/>
  <c r="AF281" i="10"/>
  <c r="AF2063" i="10"/>
  <c r="AF2061" i="10"/>
  <c r="AF1145" i="10"/>
  <c r="AF1812" i="10"/>
  <c r="AF2089" i="10"/>
  <c r="AF1244" i="10"/>
  <c r="AF1609" i="10"/>
  <c r="AF2456" i="10"/>
  <c r="AF2023" i="10"/>
  <c r="AF573" i="10"/>
  <c r="AF1563" i="10"/>
  <c r="AF932" i="10"/>
  <c r="AF2205" i="10"/>
  <c r="AF2671" i="10"/>
  <c r="AF1505" i="10"/>
  <c r="AF2126" i="10"/>
  <c r="AF948" i="10"/>
  <c r="AF2540" i="10"/>
  <c r="AF2421" i="10"/>
  <c r="AF1711" i="10"/>
  <c r="AF1266" i="10"/>
  <c r="AF2609" i="10"/>
  <c r="AF1284" i="10"/>
  <c r="AF1652" i="10"/>
  <c r="AF2568" i="10"/>
  <c r="AF2113" i="10"/>
  <c r="AF1503" i="10"/>
  <c r="AF1373" i="10"/>
  <c r="AF441" i="10"/>
  <c r="AF1834" i="10"/>
  <c r="AF1410" i="10"/>
  <c r="AF2372" i="10"/>
  <c r="AF2290" i="10"/>
  <c r="AF315" i="10"/>
  <c r="AF1633" i="10"/>
  <c r="AF292" i="10"/>
  <c r="AF980" i="10"/>
  <c r="AF468" i="10"/>
  <c r="AF2642" i="10"/>
  <c r="AF1984" i="10"/>
  <c r="AF2274" i="10"/>
  <c r="AF1835" i="10"/>
  <c r="AF1795" i="10"/>
  <c r="AF1258" i="10"/>
  <c r="AF1294" i="10"/>
  <c r="AF863" i="10"/>
  <c r="AF1716" i="10"/>
  <c r="AF2265" i="10"/>
  <c r="AF2789" i="10"/>
  <c r="AF2431" i="10"/>
  <c r="AF1339" i="10"/>
  <c r="AF791" i="10"/>
  <c r="AF1807" i="10"/>
  <c r="AF2120" i="10"/>
  <c r="AF2401" i="10"/>
  <c r="AF1204" i="10"/>
  <c r="AF415" i="10"/>
  <c r="AF748" i="10"/>
  <c r="AF1513" i="10"/>
  <c r="AF1378" i="10"/>
  <c r="AF1721" i="10"/>
  <c r="AF2397" i="10"/>
  <c r="AF648" i="10"/>
  <c r="AF1259" i="10"/>
  <c r="AF424" i="10"/>
  <c r="AF1243" i="10"/>
  <c r="AF630" i="10"/>
  <c r="AF1621" i="10"/>
  <c r="AF2209" i="10"/>
  <c r="AF1240" i="10"/>
  <c r="AF1302" i="10"/>
  <c r="AF268" i="10"/>
  <c r="AF2256" i="10"/>
  <c r="AF2005" i="10"/>
  <c r="AF890" i="10"/>
  <c r="AF1901" i="10"/>
  <c r="AF1578" i="10"/>
  <c r="AF1092" i="10"/>
  <c r="AF2768" i="10"/>
  <c r="AF1766" i="10"/>
  <c r="AF995" i="10"/>
  <c r="AF2731" i="10"/>
  <c r="AF1400" i="10"/>
  <c r="AF534" i="10"/>
  <c r="AF787" i="10"/>
  <c r="AF2112" i="10"/>
  <c r="AF423" i="10"/>
  <c r="AF2114" i="10"/>
  <c r="AF454" i="10"/>
  <c r="AF838" i="10"/>
  <c r="AF2134" i="10"/>
  <c r="AF2542" i="10"/>
  <c r="AF1419" i="10"/>
  <c r="AF2317" i="10"/>
  <c r="AF1836" i="10"/>
  <c r="AF2127" i="10"/>
  <c r="AF958" i="10"/>
  <c r="AF2333" i="10"/>
  <c r="AF505" i="10"/>
  <c r="AF2761" i="10"/>
  <c r="AF2552" i="10"/>
  <c r="AF1504" i="10"/>
  <c r="AF491" i="10"/>
  <c r="AF806" i="10"/>
  <c r="AF1781" i="10"/>
  <c r="AF876" i="10"/>
  <c r="AF2106" i="10"/>
  <c r="AF580" i="10"/>
  <c r="AF1283" i="10"/>
  <c r="AF2028" i="10"/>
  <c r="AF1994" i="10"/>
  <c r="AF889" i="10"/>
  <c r="AF1425" i="10"/>
  <c r="AF458" i="10"/>
  <c r="AF1531" i="10"/>
  <c r="AF576" i="10"/>
  <c r="AF2021" i="10"/>
  <c r="AF503" i="10"/>
  <c r="AF1161" i="10"/>
  <c r="AF1342" i="10"/>
  <c r="AF1222" i="10"/>
  <c r="AF312" i="10"/>
  <c r="AF1114" i="10"/>
  <c r="AF799" i="10"/>
  <c r="AF549" i="10"/>
  <c r="AF1366" i="10"/>
  <c r="AF770" i="10"/>
  <c r="AF2408" i="10"/>
  <c r="AF1349" i="10"/>
  <c r="AF596" i="10"/>
  <c r="AF1974" i="10"/>
  <c r="AF1462" i="10"/>
  <c r="AF2261" i="10"/>
  <c r="AF395" i="10"/>
  <c r="AF2623" i="10"/>
  <c r="AF2018" i="10"/>
  <c r="AF266" i="10"/>
  <c r="AF582" i="10"/>
  <c r="AF2048" i="10"/>
  <c r="AF1290" i="10"/>
  <c r="AF807" i="10"/>
  <c r="AF1588" i="10"/>
  <c r="AF392" i="10"/>
  <c r="AF1237" i="10"/>
  <c r="AF2230" i="10"/>
  <c r="AF558" i="10"/>
  <c r="AF842" i="10"/>
  <c r="AF1520" i="10"/>
  <c r="AF2003" i="10"/>
  <c r="AF659" i="10"/>
  <c r="AF2109" i="10"/>
  <c r="AF1282" i="10"/>
  <c r="AF692" i="10"/>
  <c r="AF2025" i="10"/>
  <c r="AF2759" i="10"/>
  <c r="AF1291" i="10"/>
  <c r="AF714" i="10"/>
  <c r="AF694" i="10"/>
  <c r="AF2115" i="10"/>
  <c r="AF774" i="10"/>
  <c r="AF1508" i="10"/>
  <c r="AF1614" i="10"/>
  <c r="AF1224" i="10"/>
  <c r="AF2665" i="10"/>
  <c r="AF724" i="10"/>
  <c r="AF469" i="10"/>
  <c r="AF1123" i="10"/>
  <c r="AF660" i="10"/>
  <c r="AF497" i="10"/>
  <c r="AF1423" i="10"/>
  <c r="AF2149" i="10"/>
  <c r="AF317" i="10"/>
  <c r="AF2426" i="10"/>
  <c r="AF443" i="10"/>
  <c r="AF1189" i="10"/>
  <c r="AF1350" i="10"/>
  <c r="AF1078" i="10"/>
  <c r="AF897" i="10"/>
  <c r="AF998" i="10"/>
  <c r="AF480" i="10"/>
  <c r="AF1735" i="10"/>
  <c r="AF1964" i="10"/>
  <c r="AF2040" i="10"/>
  <c r="AF565" i="10"/>
  <c r="AF2464" i="10"/>
  <c r="AF1586" i="10"/>
  <c r="AF1332" i="10"/>
  <c r="AF885" i="10"/>
  <c r="AF1144" i="10"/>
  <c r="AF753" i="10"/>
  <c r="AF917" i="10"/>
  <c r="AF543" i="10" l="1"/>
  <c r="AF1861" i="10"/>
  <c r="AF273" i="10"/>
  <c r="AF1777" i="10"/>
  <c r="AF2320" i="10"/>
  <c r="AF2343" i="10"/>
  <c r="AF1988" i="10"/>
  <c r="AF1326" i="10"/>
  <c r="AF2158" i="10"/>
  <c r="AF933" i="10"/>
  <c r="AF1348" i="10"/>
  <c r="AF1455" i="10"/>
  <c r="AF1540" i="10"/>
  <c r="AF2680" i="10"/>
  <c r="AF2340" i="10"/>
  <c r="AF2051" i="10"/>
  <c r="AF1542" i="10"/>
  <c r="AF1288" i="10"/>
  <c r="AF504" i="10"/>
  <c r="AF2493" i="10"/>
  <c r="AF646" i="10"/>
  <c r="AF592" i="10"/>
  <c r="AF368" i="10"/>
  <c r="AF851" i="10"/>
  <c r="AF688" i="10"/>
  <c r="AF1194" i="10"/>
  <c r="AF1905" i="10"/>
  <c r="AF2026" i="10"/>
  <c r="AF996" i="10"/>
  <c r="AF2239" i="10"/>
  <c r="AF1102" i="10"/>
  <c r="AF870" i="10"/>
  <c r="AF805" i="10"/>
  <c r="AF2733" i="10"/>
  <c r="AF1227" i="10"/>
  <c r="AF2721" i="10"/>
  <c r="AF2193" i="10"/>
  <c r="AF1793" i="10"/>
  <c r="AF1676" i="10"/>
  <c r="AF1482" i="10"/>
  <c r="AF2257" i="10"/>
  <c r="AF1794" i="10"/>
  <c r="AF293" i="10"/>
  <c r="AF1718" i="10"/>
  <c r="AF1358" i="10"/>
  <c r="AF2352" i="10"/>
  <c r="AF1489" i="10"/>
  <c r="AF2111" i="10"/>
  <c r="AF1022" i="10"/>
  <c r="AF664" i="10"/>
  <c r="AF554" i="10"/>
  <c r="AF2467" i="10"/>
  <c r="AF380" i="10"/>
  <c r="AF2226" i="10"/>
  <c r="AF1765" i="10"/>
  <c r="AF1460" i="10"/>
  <c r="AF1810" i="10"/>
  <c r="AF759" i="10"/>
  <c r="AF2097" i="10"/>
  <c r="AF878" i="10"/>
  <c r="AF1724" i="10"/>
  <c r="AF937" i="10"/>
  <c r="AF1225" i="10"/>
  <c r="AF1401" i="10"/>
  <c r="AF2526" i="10"/>
  <c r="AF1117" i="10"/>
  <c r="AF1251" i="10"/>
  <c r="AF1494" i="10"/>
  <c r="AF2674" i="10"/>
  <c r="AF1945" i="10"/>
  <c r="AF1806" i="10"/>
  <c r="AF2728" i="10"/>
  <c r="AF1228" i="10"/>
  <c r="AF2743" i="10"/>
  <c r="AF2794" i="10"/>
  <c r="AF2709" i="10"/>
  <c r="AF965" i="10"/>
  <c r="AF1632" i="10"/>
  <c r="AF2649" i="10"/>
  <c r="AF1804" i="10"/>
  <c r="AF1185" i="10"/>
  <c r="AF510" i="10"/>
  <c r="AF1833" i="10"/>
  <c r="AF2666" i="10"/>
  <c r="AF2645" i="10"/>
  <c r="AF307" i="10"/>
  <c r="AF1433" i="10"/>
  <c r="AF1239" i="10"/>
  <c r="AF970" i="10"/>
  <c r="AF2268" i="10"/>
  <c r="AF1127" i="10"/>
  <c r="AF999" i="10"/>
  <c r="AF1334" i="10"/>
  <c r="AF2791" i="10"/>
  <c r="AF827" i="10"/>
  <c r="AF420" i="10"/>
  <c r="AF982" i="10"/>
  <c r="AF1483" i="10"/>
  <c r="AF2329" i="10"/>
  <c r="AF2615" i="10"/>
  <c r="AF2241" i="10"/>
  <c r="AF1842" i="10"/>
  <c r="AF1684" i="10"/>
  <c r="AF1546" i="10"/>
  <c r="AF1219" i="10"/>
  <c r="AF1441" i="10"/>
  <c r="AF968" i="10"/>
  <c r="AF1323" i="10"/>
  <c r="AF2616" i="10"/>
  <c r="AF1496" i="10"/>
  <c r="AF2543" i="10"/>
  <c r="AF1249" i="10"/>
  <c r="AF381" i="10"/>
  <c r="AF967" i="10"/>
  <c r="AF2164" i="10"/>
  <c r="AF800" i="10"/>
  <c r="AF2521" i="10"/>
  <c r="AF734" i="10"/>
  <c r="AF1079" i="10"/>
  <c r="AF369" i="10"/>
  <c r="AF2380" i="10"/>
  <c r="AF1645" i="10"/>
  <c r="AF701" i="10"/>
  <c r="AF1124" i="10"/>
  <c r="AF2300" i="10"/>
  <c r="AF2452" i="10"/>
  <c r="AF2539" i="10"/>
  <c r="AF906" i="10"/>
  <c r="AF1509" i="10"/>
  <c r="AF1175" i="10"/>
  <c r="AF2764" i="10"/>
  <c r="AF2050" i="10"/>
  <c r="AF1197" i="10"/>
  <c r="AF719" i="10"/>
  <c r="AF1991" i="10"/>
  <c r="AF418" i="10"/>
  <c r="AF1328" i="10"/>
  <c r="AF511" i="10"/>
  <c r="AF1746" i="10"/>
  <c r="AF1925" i="10"/>
  <c r="AF1039" i="10"/>
  <c r="AF473" i="10"/>
  <c r="AF2053" i="10"/>
  <c r="AF599" i="10"/>
  <c r="AF1733" i="10"/>
  <c r="AF1470" i="10"/>
  <c r="AF351" i="10"/>
  <c r="AF1304" i="10"/>
  <c r="AF2704" i="10"/>
  <c r="AF712" i="10"/>
  <c r="AF690" i="10"/>
  <c r="AF2377" i="10"/>
  <c r="AF526" i="10"/>
  <c r="AF1818" i="10"/>
  <c r="AF2497" i="10"/>
  <c r="AF2406" i="10"/>
  <c r="AF1738" i="10"/>
  <c r="AF813" i="10"/>
  <c r="AF2532" i="10"/>
  <c r="AF1748" i="10"/>
  <c r="AF1487" i="10"/>
  <c r="AF1450" i="10"/>
  <c r="AF1387" i="10"/>
  <c r="AF354" i="10"/>
  <c r="AF1678" i="10"/>
  <c r="AF721" i="10"/>
  <c r="AF1651" i="10"/>
  <c r="AF2360" i="10"/>
  <c r="AF834" i="10"/>
  <c r="AF500" i="10"/>
  <c r="AF2124" i="10"/>
  <c r="AF841" i="10"/>
  <c r="AF2459" i="10"/>
  <c r="AF1169" i="10"/>
  <c r="AF1408" i="10"/>
  <c r="AF1048" i="10"/>
  <c r="AF318" i="10"/>
  <c r="AF2085" i="10"/>
  <c r="AF362" i="10"/>
  <c r="AF1954" i="10"/>
  <c r="AF2561" i="10"/>
  <c r="AF2477" i="10"/>
  <c r="AF2444" i="10"/>
  <c r="AF1395" i="10"/>
  <c r="AF2517" i="10"/>
  <c r="AF1980" i="10"/>
  <c r="AF2775" i="10"/>
  <c r="AF1405" i="10"/>
  <c r="AF729" i="10"/>
  <c r="AF816" i="10"/>
  <c r="AF946" i="10"/>
  <c r="AF1852" i="10"/>
  <c r="AF1693" i="10"/>
  <c r="AF1467" i="10"/>
  <c r="AF2725" i="10"/>
  <c r="AF1469" i="10"/>
  <c r="AF2020" i="10"/>
  <c r="AF361" i="10"/>
  <c r="AF1572" i="10"/>
  <c r="AF904" i="10"/>
  <c r="AF556" i="10"/>
  <c r="AF2646" i="10"/>
  <c r="AF2195" i="10"/>
  <c r="AF952" i="10"/>
  <c r="AF2084" i="10"/>
  <c r="AF1030" i="10"/>
  <c r="AF2419" i="10"/>
  <c r="AF1081" i="10"/>
  <c r="AF2745" i="10"/>
  <c r="AF2752" i="10"/>
  <c r="AF1069" i="10"/>
  <c r="AF1800" i="10"/>
  <c r="AF2437" i="10"/>
  <c r="AF394" i="10"/>
  <c r="AF1005" i="10"/>
  <c r="AF2550" i="10"/>
  <c r="AF744" i="10"/>
  <c r="AF2475" i="10"/>
  <c r="AF962" i="10"/>
  <c r="AF1213" i="10"/>
  <c r="AF1320" i="10"/>
  <c r="AF1559" i="10"/>
  <c r="AF2402" i="10"/>
  <c r="AF562" i="10"/>
  <c r="AF2525" i="10"/>
  <c r="AF544" i="10"/>
  <c r="AF1776" i="10"/>
  <c r="AF808" i="10"/>
  <c r="AF2627" i="10"/>
  <c r="AF1604" i="10"/>
  <c r="AF378" i="10"/>
  <c r="AF1032" i="10"/>
  <c r="AF1701" i="10"/>
  <c r="AF353" i="10"/>
  <c r="AF2484" i="10"/>
  <c r="AF1821" i="10"/>
  <c r="AF398" i="10"/>
  <c r="AF2650" i="10"/>
  <c r="AF1016" i="10"/>
  <c r="AF1210" i="10"/>
  <c r="AF397" i="10"/>
  <c r="AF2080" i="10"/>
  <c r="AF1700" i="10"/>
  <c r="AF334" i="10"/>
  <c r="AF2736" i="10"/>
  <c r="AF811" i="10"/>
  <c r="AF1475" i="10"/>
  <c r="AF2052" i="10"/>
  <c r="AF1622" i="10"/>
  <c r="AF1254" i="10"/>
  <c r="AF766" i="10"/>
  <c r="AF552" i="10"/>
  <c r="AF1001" i="10"/>
  <c r="AF569" i="10"/>
  <c r="AF1674" i="10"/>
  <c r="AF1628" i="10"/>
  <c r="AF2485" i="10"/>
  <c r="AF2747" i="10"/>
  <c r="AF2765" i="10"/>
  <c r="AF1420" i="10"/>
  <c r="AF600" i="10"/>
  <c r="AF823" i="10"/>
  <c r="AF407" i="10"/>
  <c r="AF322" i="10"/>
  <c r="AF2538" i="10"/>
  <c r="AF1037" i="10"/>
  <c r="AF2138" i="10"/>
  <c r="AF1009" i="10"/>
  <c r="AF363" i="10"/>
  <c r="AF1552" i="10"/>
  <c r="AF2083" i="10"/>
  <c r="AF2245" i="10"/>
  <c r="AF709" i="10"/>
  <c r="AF455" i="10"/>
  <c r="AF2716" i="10"/>
  <c r="AF1203" i="10"/>
  <c r="AF1741" i="10"/>
  <c r="AF379" i="10"/>
  <c r="AF2016" i="10"/>
  <c r="AF684" i="10"/>
  <c r="AF2036" i="10"/>
  <c r="AF401" i="10"/>
  <c r="AF2595" i="10"/>
  <c r="AF1097" i="10"/>
  <c r="AF705" i="10"/>
  <c r="AF1491" i="10"/>
  <c r="AF793" i="10"/>
  <c r="AF566" i="10"/>
  <c r="AF2411" i="10"/>
  <c r="AF1823" i="10"/>
  <c r="AF298" i="10"/>
  <c r="AF365" i="10"/>
  <c r="AF1501" i="10"/>
  <c r="AF512" i="10"/>
  <c r="AF2713" i="10"/>
  <c r="AF1190" i="10"/>
  <c r="AF1155" i="10"/>
  <c r="AF1327" i="10"/>
  <c r="AF1131" i="10"/>
  <c r="AF2505" i="10"/>
  <c r="AF316" i="10"/>
  <c r="AF1775" i="10"/>
  <c r="AF2503" i="10"/>
  <c r="AF1532" i="10"/>
  <c r="AF2613" i="10"/>
  <c r="AF894" i="10"/>
  <c r="AF1937" i="10"/>
  <c r="AF2215" i="10"/>
  <c r="AF657" i="10"/>
  <c r="AF279" i="10"/>
  <c r="AF1221" i="10"/>
  <c r="AF305" i="10"/>
  <c r="AF785" i="10"/>
  <c r="AF2070" i="10"/>
  <c r="AF2162" i="10"/>
  <c r="AF1215" i="10"/>
  <c r="AF776" i="10"/>
  <c r="AF1407" i="10"/>
  <c r="AF2495" i="10"/>
  <c r="AF263" i="10"/>
  <c r="AF2381" i="10"/>
  <c r="AF2654" i="10"/>
  <c r="AF735" i="10"/>
  <c r="AF1787" i="10"/>
  <c r="AF1657" i="10"/>
  <c r="AF2110" i="10"/>
  <c r="AF1740" i="10"/>
  <c r="AF1128" i="10"/>
  <c r="AF2394" i="10"/>
  <c r="AF2191" i="10"/>
  <c r="AF2706" i="10"/>
  <c r="AF2392" i="10"/>
  <c r="AF1159" i="10"/>
  <c r="AF1554" i="10"/>
  <c r="AF1526" i="10"/>
  <c r="AF2631" i="10"/>
  <c r="AF1670" i="10"/>
  <c r="AF869" i="10"/>
  <c r="AF983" i="10"/>
  <c r="AF524" i="10"/>
  <c r="AF2433" i="10"/>
  <c r="AF859" i="10"/>
  <c r="AF459" i="10"/>
  <c r="AF1122" i="10"/>
  <c r="AF1200" i="10"/>
  <c r="AF2156" i="10"/>
  <c r="AF1904" i="10"/>
  <c r="AF1198" i="10"/>
  <c r="AF1289" i="10"/>
  <c r="AF730" i="10"/>
  <c r="AF1230" i="10"/>
  <c r="AF2055" i="10"/>
  <c r="AF2548" i="10"/>
  <c r="AF479" i="10"/>
  <c r="AF1183" i="10"/>
  <c r="AF1612" i="10"/>
  <c r="AF853" i="10"/>
  <c r="AF1485" i="10"/>
  <c r="AF1413" i="10"/>
  <c r="AF1051" i="10"/>
  <c r="AF761" i="10"/>
  <c r="AF1668" i="10"/>
  <c r="AF2090" i="10"/>
  <c r="AF2661" i="10"/>
  <c r="AF531" i="10"/>
  <c r="AF1281" i="10"/>
  <c r="AF409" i="10"/>
  <c r="AF623" i="10"/>
  <c r="AF812" i="10"/>
  <c r="AF1916" i="10"/>
  <c r="AF1125" i="10"/>
  <c r="AF2176" i="10"/>
  <c r="AF1928" i="10"/>
  <c r="AF2618" i="10"/>
  <c r="AF2658" i="10"/>
  <c r="AF1080" i="10"/>
  <c r="AF2405" i="10"/>
  <c r="AF1241" i="10"/>
  <c r="AF1912" i="10"/>
  <c r="AF2331" i="10"/>
  <c r="AF306" i="10"/>
  <c r="AF1761" i="10"/>
  <c r="AF1439" i="10"/>
  <c r="AF1575" i="10"/>
  <c r="AF2566" i="10"/>
  <c r="AF2031" i="10"/>
  <c r="AF2141" i="10"/>
  <c r="AF1882" i="10"/>
  <c r="AF1923" i="10"/>
  <c r="AF1907" i="10"/>
  <c r="AF1047" i="10"/>
  <c r="AF824" i="10"/>
  <c r="AF733" i="10"/>
  <c r="AF314" i="10"/>
  <c r="AF908" i="10"/>
  <c r="AF2076" i="10"/>
  <c r="AF752" i="10"/>
  <c r="AF2044" i="10"/>
  <c r="AF1404" i="10"/>
  <c r="AF929" i="10"/>
  <c r="AF1784" i="10"/>
  <c r="AF553" i="10"/>
  <c r="AF1103" i="10"/>
  <c r="AF1383" i="10"/>
  <c r="AF843" i="10"/>
  <c r="AF1742" i="10"/>
  <c r="AF2213" i="10"/>
  <c r="AF528" i="10"/>
  <c r="AF432" i="10"/>
  <c r="AF1732" i="10"/>
  <c r="AF1456" i="10"/>
  <c r="AF1126" i="10"/>
  <c r="AF655" i="10"/>
  <c r="AF1618" i="10"/>
  <c r="AF2117" i="10"/>
  <c r="AF2441" i="10"/>
  <c r="AF1548" i="10"/>
  <c r="AF718" i="10"/>
  <c r="AF2221" i="10"/>
  <c r="AF2607" i="10"/>
  <c r="AF1525" i="10"/>
  <c r="AF433" i="10"/>
  <c r="AF1966" i="10"/>
  <c r="AF2460" i="10"/>
  <c r="AF2697" i="10"/>
  <c r="AF2780" i="10"/>
  <c r="AF2641" i="10"/>
  <c r="AF2473" i="10"/>
  <c r="AF2278" i="10"/>
  <c r="AF1085" i="10"/>
  <c r="AF1437" i="10"/>
  <c r="AF1137" i="10"/>
  <c r="AF784" i="10"/>
  <c r="AF1434" i="10"/>
  <c r="AF2095" i="10"/>
  <c r="AF2310" i="10"/>
  <c r="AF2068" i="10"/>
  <c r="AF1686" i="10"/>
  <c r="AF2371" i="10"/>
  <c r="AF1158" i="10"/>
  <c r="AF762" i="10"/>
  <c r="AF1101" i="10"/>
  <c r="AF2173" i="10"/>
  <c r="AF1996" i="10"/>
  <c r="AF1535" i="10"/>
  <c r="AF773" i="10"/>
  <c r="AF2762" i="10"/>
  <c r="AF1935" i="10"/>
  <c r="AF1143" i="10"/>
  <c r="AF1090" i="10"/>
  <c r="AF2367" i="10"/>
  <c r="AF740" i="10"/>
  <c r="AF1555" i="10"/>
  <c r="AF928" i="10"/>
  <c r="AF756" i="10"/>
  <c r="AF2006" i="10"/>
  <c r="AF2250" i="10"/>
  <c r="AF422" i="10"/>
  <c r="AF1917" i="10"/>
  <c r="AF345" i="10"/>
  <c r="AF1344" i="10"/>
  <c r="AF1033" i="10"/>
  <c r="AF1417" i="10"/>
  <c r="AF676" i="10"/>
  <c r="AF794" i="10"/>
  <c r="AF430" i="10"/>
  <c r="AF348" i="10"/>
  <c r="AF1774" i="10"/>
  <c r="AF2293" i="10"/>
  <c r="AF311" i="10"/>
  <c r="AF2622" i="10"/>
  <c r="AF628" i="10"/>
  <c r="AF720" i="10"/>
  <c r="AF768" i="10"/>
  <c r="AF868" i="10"/>
  <c r="AF1287" i="10"/>
  <c r="AF1613" i="10"/>
  <c r="AF2147" i="10"/>
  <c r="AF1737" i="10"/>
  <c r="AF922" i="10"/>
  <c r="AF1913" i="10"/>
  <c r="AF1468" i="10"/>
  <c r="AF895" i="10"/>
  <c r="AF1112" i="10"/>
  <c r="AF1576" i="10"/>
  <c r="AF723" i="10"/>
  <c r="AF387" i="10"/>
  <c r="AF2267" i="10"/>
  <c r="AF2659" i="10"/>
  <c r="AF2596" i="10"/>
  <c r="AF2240" i="10"/>
  <c r="AF1963" i="10"/>
  <c r="AF2705" i="10"/>
  <c r="AF1719" i="10"/>
  <c r="AF1862" i="10"/>
  <c r="AF1869" i="10"/>
  <c r="AF1665" i="10"/>
  <c r="AF2506" i="10"/>
  <c r="AF1590" i="10"/>
  <c r="AF708" i="10"/>
  <c r="AF2478" i="10"/>
  <c r="AF1305" i="10"/>
  <c r="AF539" i="10"/>
  <c r="AF1581" i="10"/>
  <c r="AF2511" i="10"/>
  <c r="AF1808" i="10"/>
  <c r="AF1337" i="10"/>
  <c r="AF1660" i="10"/>
  <c r="AF2336" i="10"/>
  <c r="AF541" i="10"/>
  <c r="AF2385" i="10"/>
  <c r="AF934" i="10"/>
  <c r="AF2693" i="10"/>
  <c r="AF2530" i="10"/>
  <c r="AF2263" i="10"/>
  <c r="AF529" i="10"/>
  <c r="AF2491" i="10"/>
  <c r="AF1594" i="10"/>
  <c r="AF2129" i="10"/>
  <c r="AF1687" i="10"/>
  <c r="AF898" i="10"/>
  <c r="AF1543" i="10"/>
  <c r="AF2630" i="10"/>
  <c r="AF1335" i="10"/>
  <c r="AF1152" i="10"/>
  <c r="AF2251" i="10"/>
  <c r="AF1539" i="10"/>
  <c r="AF1461" i="10"/>
  <c r="AF350" i="10"/>
  <c r="AF1783" i="10"/>
  <c r="AF686" i="10"/>
  <c r="AF1778" i="10"/>
  <c r="AF1480" i="10"/>
  <c r="AF327" i="10"/>
  <c r="AF619" i="10"/>
  <c r="AF1205" i="10"/>
  <c r="AF2449" i="10"/>
  <c r="AF448" i="10"/>
  <c r="AF1779" i="10"/>
  <c r="AF2350" i="10"/>
  <c r="AF960" i="10"/>
  <c r="AF1363" i="10"/>
  <c r="AF1679" i="10"/>
  <c r="AF1564" i="10"/>
  <c r="AF540" i="10"/>
  <c r="AF1682" i="10"/>
  <c r="AF2399" i="10"/>
  <c r="AF400" i="10"/>
  <c r="AF1592" i="10"/>
  <c r="AF2223" i="10"/>
  <c r="AF1786" i="10"/>
  <c r="AF900" i="10"/>
  <c r="AF1764" i="10"/>
  <c r="AF1876" i="10"/>
  <c r="AF486" i="10"/>
  <c r="AF972" i="10"/>
  <c r="AF1780" i="10"/>
  <c r="AF2554" i="10"/>
  <c r="AF989" i="10"/>
  <c r="AF880" i="10"/>
  <c r="AF1772" i="10"/>
  <c r="AF2192" i="10"/>
  <c r="AF442" i="10"/>
  <c r="AF391" i="10"/>
  <c r="AF2378" i="10"/>
  <c r="AF1118" i="10"/>
  <c r="AF1640" i="10"/>
  <c r="AF1863" i="10"/>
  <c r="AF1199" i="10"/>
  <c r="AF1361" i="10"/>
  <c r="AF871" i="10"/>
  <c r="AF493" i="10"/>
  <c r="AF832" i="10"/>
  <c r="AF997" i="10"/>
  <c r="AF1165" i="10"/>
  <c r="AF1206" i="10"/>
  <c r="AF2379" i="10"/>
  <c r="AF1429" i="10"/>
  <c r="AF1814" i="10"/>
  <c r="AF2632" i="10"/>
  <c r="AF1493" i="10"/>
  <c r="AF2748" i="10"/>
  <c r="AF476" i="10"/>
  <c r="AF1507" i="10"/>
  <c r="AF649" i="10"/>
  <c r="AF1630" i="10"/>
  <c r="AF513" i="10"/>
  <c r="AF2135" i="10"/>
  <c r="AF2133" i="10"/>
  <c r="AF1506" i="10"/>
  <c r="AF2589" i="10"/>
  <c r="AF2189" i="10"/>
  <c r="AF2453" i="10"/>
  <c r="AF1992" i="10"/>
  <c r="AF2668" i="10"/>
  <c r="AF782" i="10"/>
  <c r="AF2137" i="10"/>
  <c r="AF931" i="10"/>
  <c r="AF538" i="10"/>
  <c r="AF601" i="10"/>
  <c r="AF559" i="10"/>
  <c r="AF2628" i="10"/>
  <c r="AF760" i="10"/>
  <c r="AF2311" i="10"/>
  <c r="AF1655" i="10"/>
  <c r="AF1397" i="10"/>
  <c r="AF2383" i="10"/>
  <c r="AF2309" i="10"/>
  <c r="AF2046" i="10"/>
  <c r="AF2795" i="10"/>
  <c r="AF2418" i="10"/>
  <c r="AF1188" i="10"/>
  <c r="AF1602" i="10"/>
  <c r="AF1999" i="10"/>
  <c r="AF626" i="10"/>
  <c r="AF2243" i="10"/>
  <c r="AF1846" i="10"/>
  <c r="AF2590" i="10"/>
  <c r="AF377" i="10"/>
  <c r="AF1858" i="10"/>
  <c r="AF2057" i="10"/>
  <c r="AF1899" i="10"/>
  <c r="AF2702" i="10"/>
  <c r="AF2322" i="10"/>
  <c r="AF2455" i="10"/>
  <c r="AF371" i="10"/>
  <c r="AF1685" i="10"/>
  <c r="AF1982" i="10"/>
  <c r="AF1654" i="10"/>
  <c r="AF1447" i="10"/>
  <c r="AF1893" i="10"/>
  <c r="AF1054" i="10"/>
  <c r="AF2688" i="10"/>
  <c r="AF1691" i="10"/>
  <c r="AF1529" i="10"/>
  <c r="AF2302" i="10"/>
  <c r="AF2167" i="10"/>
  <c r="AF1057" i="10"/>
  <c r="AF374" i="10"/>
  <c r="AF428" i="10"/>
  <c r="AF2285" i="10"/>
  <c r="AF2348" i="10"/>
  <c r="AF1908" i="10"/>
  <c r="AF663" i="10"/>
  <c r="AF1666" i="10"/>
  <c r="AF612" i="10"/>
  <c r="AF1727" i="10"/>
  <c r="AF1163" i="10"/>
  <c r="AF1444" i="10"/>
  <c r="AF603" i="10"/>
  <c r="AF2087" i="10"/>
  <c r="AF1430" i="10"/>
  <c r="AF2429" i="10"/>
  <c r="AF903" i="10"/>
  <c r="AF1844" i="10"/>
  <c r="AF1351" i="10"/>
  <c r="AF893" i="10"/>
  <c r="AF1986" i="10"/>
  <c r="AF2559" i="10"/>
  <c r="AF2523" i="10"/>
  <c r="AF324" i="10"/>
  <c r="AF2691" i="10"/>
  <c r="AF1524" i="10"/>
  <c r="AF2735" i="10"/>
  <c r="AF693" i="10"/>
  <c r="AF2621" i="10"/>
  <c r="AF1449" i="10"/>
  <c r="AF1889" i="10"/>
  <c r="AF1589" i="10"/>
  <c r="AF593" i="10"/>
  <c r="AF2687" i="10"/>
  <c r="AF2165" i="10"/>
  <c r="AF2760" i="10"/>
  <c r="AF2200" i="10"/>
  <c r="AF2483" i="10"/>
  <c r="AF1906" i="10"/>
  <c r="AF2772" i="10"/>
  <c r="AF1390" i="10"/>
  <c r="AF421" i="10"/>
  <c r="AF2093" i="10"/>
  <c r="AF966" i="10"/>
  <c r="AF463" i="10"/>
  <c r="AF1803" i="10"/>
  <c r="AF2338" i="10"/>
  <c r="AF608" i="10"/>
  <c r="AF2077" i="10"/>
  <c r="AF1736" i="10"/>
  <c r="AF2726" i="10"/>
  <c r="AF2066" i="10"/>
  <c r="AF1075" i="10"/>
  <c r="AF696" i="10"/>
  <c r="AF2186" i="10"/>
  <c r="AF2161" i="10"/>
  <c r="AF848" i="10"/>
  <c r="AF981" i="10"/>
  <c r="AF1261" i="10"/>
  <c r="AF1972" i="10"/>
  <c r="AF270" i="10"/>
  <c r="AF1961" i="10"/>
  <c r="AF1095" i="10"/>
  <c r="AF1827" i="10"/>
  <c r="AF2774" i="10"/>
  <c r="AF2611" i="10"/>
  <c r="AF2605" i="10"/>
  <c r="AF2509" i="10"/>
  <c r="AF410" i="10"/>
  <c r="AF2644" i="10"/>
  <c r="AF1121" i="10"/>
  <c r="AF536" i="10"/>
  <c r="AF1173" i="10"/>
  <c r="AF2799" i="10"/>
  <c r="AF425" i="10"/>
  <c r="AF1997" i="10"/>
  <c r="AF2424" i="10"/>
  <c r="AF1939" i="10"/>
  <c r="AF2740" i="10"/>
  <c r="AF1629" i="10"/>
  <c r="AF2202" i="10"/>
  <c r="AF1860" i="10"/>
  <c r="AF1886" i="10"/>
  <c r="AF1952" i="10"/>
  <c r="AF2042" i="10"/>
  <c r="AF1918" i="10"/>
  <c r="AF2684" i="10"/>
  <c r="AF1811" i="10"/>
  <c r="AF1661" i="10"/>
  <c r="AF1465" i="10"/>
  <c r="AF2519" i="10"/>
  <c r="AF1517" i="10"/>
  <c r="AF1265" i="10"/>
  <c r="AF326" i="10"/>
  <c r="AF1990" i="10"/>
  <c r="AF2555" i="10"/>
  <c r="AF1752" i="10"/>
  <c r="AF971" i="10"/>
  <c r="AF2781" i="10"/>
  <c r="AF2359" i="10"/>
  <c r="AF2626" i="10"/>
  <c r="AF1528" i="10"/>
  <c r="AF1034" i="10"/>
  <c r="AF1174" i="10"/>
  <c r="AF396" i="10"/>
  <c r="AF344" i="10"/>
  <c r="AF1635" i="10"/>
  <c r="AF2281" i="10"/>
  <c r="AF1758" i="10"/>
  <c r="AF1403" i="10"/>
  <c r="AF1297" i="10"/>
  <c r="AF2679" i="10"/>
  <c r="AF446" i="10"/>
  <c r="AF1714" i="10"/>
  <c r="AF509" i="10"/>
  <c r="AF666" i="10"/>
  <c r="AF2707" i="10"/>
  <c r="AF1385" i="10"/>
  <c r="AF1577" i="10"/>
  <c r="AF2557" i="10"/>
  <c r="AF1218" i="10"/>
  <c r="AF1545" i="10"/>
  <c r="AF1392" i="10"/>
  <c r="AF1286" i="10"/>
  <c r="AF1927" i="10"/>
  <c r="AF2513" i="10"/>
  <c r="AF2252" i="10"/>
  <c r="AF2345" i="10"/>
  <c r="AF1829" i="10"/>
  <c r="AF977" i="10"/>
  <c r="AF1708" i="10"/>
  <c r="AF2038" i="10"/>
  <c r="AF1802" i="10"/>
  <c r="AF2132" i="10"/>
  <c r="AF272" i="10"/>
  <c r="AF2412" i="10"/>
  <c r="AF1512" i="10"/>
  <c r="AF2498" i="10"/>
  <c r="AF456" i="10"/>
  <c r="AF1448" i="10"/>
  <c r="AF1138" i="10"/>
  <c r="AF1767" i="10"/>
  <c r="AF1020" i="10"/>
  <c r="AF385" i="10"/>
  <c r="AF1799" i="10"/>
  <c r="AF763" i="10"/>
  <c r="AF2741" i="10"/>
  <c r="AF1008" i="10"/>
  <c r="AF2358" i="10"/>
  <c r="AF1064" i="10"/>
  <c r="AF2732" i="10"/>
  <c r="AF2502" i="10"/>
  <c r="AF478" i="10"/>
  <c r="AF548" i="10"/>
  <c r="AF2219" i="10"/>
  <c r="AF1106" i="10"/>
  <c r="AF2494" i="10"/>
  <c r="AF741" i="10"/>
  <c r="AF902" i="10"/>
  <c r="AF2270" i="10"/>
  <c r="AF1356" i="10"/>
  <c r="AF2220" i="10"/>
  <c r="AF1271" i="10"/>
  <c r="AF1647" i="10"/>
  <c r="AF840" i="10"/>
  <c r="AF1309" i="10"/>
  <c r="AF1474" i="10"/>
  <c r="AF1569" i="10"/>
  <c r="AF2346" i="10"/>
  <c r="AF2101" i="10"/>
  <c r="AF916" i="10"/>
  <c r="AF2604" i="10"/>
  <c r="AF1182" i="10"/>
  <c r="AF627" i="10"/>
  <c r="AF781" i="10"/>
  <c r="AF338" i="10"/>
  <c r="AF1108" i="10"/>
  <c r="AF1021" i="10"/>
  <c r="AF1703" i="10"/>
  <c r="AF1252" i="10"/>
  <c r="AF879" i="10"/>
  <c r="AF1558" i="10"/>
  <c r="AF821" i="10"/>
  <c r="AF739" i="10"/>
  <c r="AF1726" i="10"/>
  <c r="AF1616" i="10"/>
  <c r="AF1940" i="10"/>
  <c r="AF579" i="10"/>
  <c r="AF2468" i="10"/>
  <c r="AF1310" i="10"/>
  <c r="AF1921" i="10"/>
  <c r="AF417" i="10"/>
  <c r="AF470" i="10"/>
  <c r="AF2750" i="10"/>
  <c r="AF644" i="10"/>
  <c r="AF2534" i="10"/>
  <c r="AF2224" i="10"/>
  <c r="AF636" i="10"/>
  <c r="AF888" i="10"/>
  <c r="AF481" i="10"/>
  <c r="AF289" i="10"/>
  <c r="AF1386" i="10"/>
  <c r="AF864" i="10"/>
  <c r="AF1217" i="10"/>
  <c r="AF746" i="10"/>
  <c r="AF638" i="10"/>
  <c r="AF726" i="10"/>
  <c r="AF1605" i="10"/>
  <c r="AF2560" i="10"/>
  <c r="AF1926" i="10"/>
  <c r="AF1000" i="10"/>
  <c r="AF399" i="10"/>
  <c r="AF2155" i="10"/>
  <c r="AF2171" i="10"/>
  <c r="AF2108" i="10"/>
  <c r="AF494" i="10"/>
  <c r="AF1879" i="10"/>
  <c r="AF2376" i="10"/>
  <c r="AF2144" i="10"/>
  <c r="AF1343" i="10"/>
  <c r="AF313" i="10"/>
  <c r="AF2032" i="10"/>
  <c r="AF1626" i="10"/>
  <c r="AF1136" i="10"/>
  <c r="AF583" i="10"/>
  <c r="AF2788" i="10"/>
  <c r="AF1406" i="10"/>
  <c r="AF2448" i="10"/>
  <c r="AF2400" i="10"/>
  <c r="AF643" i="10"/>
  <c r="AF584" i="10"/>
  <c r="AF2730" i="10"/>
  <c r="AF829" i="10"/>
  <c r="AF2699" i="10"/>
  <c r="AF1515" i="10"/>
  <c r="AF1453" i="10"/>
  <c r="AF2060" i="10"/>
  <c r="AF1248" i="10"/>
  <c r="AF891" i="10"/>
  <c r="AF303" i="10"/>
  <c r="AF1567" i="10"/>
  <c r="AF2014" i="10"/>
  <c r="AF2296" i="10"/>
  <c r="AF2443" i="10"/>
  <c r="AF602" i="10"/>
  <c r="AF2332" i="10"/>
  <c r="AF1791" i="10"/>
  <c r="AF555" i="10"/>
  <c r="AF689" i="10"/>
  <c r="AF1931" i="10"/>
  <c r="AF1619" i="10"/>
  <c r="AF2168" i="10"/>
  <c r="AF1855" i="10"/>
  <c r="AF611" i="10"/>
  <c r="AF2592" i="10"/>
  <c r="AF2091" i="10"/>
  <c r="AF2146" i="10"/>
  <c r="AF2771" i="10"/>
  <c r="AF462" i="10"/>
  <c r="AF2450" i="10"/>
  <c r="AF910" i="10"/>
  <c r="AF2601" i="10"/>
  <c r="AF2328" i="10"/>
  <c r="AF1743" i="10"/>
  <c r="AF1617" i="10"/>
  <c r="AF671" i="10"/>
  <c r="AF2567" i="10"/>
  <c r="AF1154" i="10"/>
  <c r="AF2363" i="10"/>
  <c r="AF767" i="10"/>
  <c r="AF2013" i="10"/>
  <c r="AF978" i="10"/>
  <c r="AF1367" i="10"/>
  <c r="AF483" i="10"/>
  <c r="AF1223" i="10"/>
  <c r="AF1890" i="10"/>
  <c r="AF1595" i="10"/>
  <c r="AF941" i="10"/>
  <c r="AF2361" i="10"/>
  <c r="AF1372" i="10"/>
  <c r="AF951" i="10"/>
  <c r="AF1280" i="10"/>
  <c r="AF976" i="10"/>
  <c r="AF1922" i="10"/>
  <c r="AF1319" i="10"/>
  <c r="AF1013" i="10"/>
  <c r="AF1296" i="10"/>
  <c r="AF691" i="10"/>
  <c r="AF1979" i="10"/>
  <c r="AF1442" i="10"/>
  <c r="AF2470" i="10"/>
  <c r="AF1492" i="10"/>
  <c r="AF819" i="10"/>
  <c r="AF1147" i="10"/>
  <c r="AF519" i="10"/>
  <c r="AF598" i="10"/>
  <c r="AF1459" i="10"/>
  <c r="AF287" i="10"/>
  <c r="AF913" i="10"/>
  <c r="AF1002" i="10"/>
  <c r="AF728" i="10"/>
  <c r="AF464" i="10"/>
  <c r="AF437" i="10"/>
  <c r="AF1208" i="10"/>
  <c r="AF1762" i="10"/>
  <c r="AF1556" i="10"/>
  <c r="AF2218" i="10"/>
  <c r="AF2201" i="10"/>
  <c r="AF700" i="10"/>
  <c r="AF667" i="10"/>
  <c r="AF2603" i="10"/>
  <c r="AF2710" i="10"/>
  <c r="AF935" i="10"/>
  <c r="AF2123" i="10"/>
  <c r="AF1279" i="10"/>
  <c r="AF2673" i="10"/>
  <c r="AF1076" i="10"/>
  <c r="AF1715" i="10"/>
  <c r="AF2414" i="10"/>
  <c r="AF2122" i="10"/>
  <c r="AF1089" i="10"/>
  <c r="AF1891" i="10"/>
  <c r="AF620" i="10"/>
  <c r="AF1582" i="10"/>
  <c r="AF2153" i="10"/>
  <c r="AF2008" i="10"/>
  <c r="AF1702" i="10"/>
  <c r="AF672" i="10"/>
  <c r="AF2086" i="10"/>
  <c r="AF964" i="10"/>
  <c r="AF683" i="10"/>
  <c r="AF2030" i="10"/>
  <c r="AF618" i="10"/>
  <c r="AF2326" i="10"/>
  <c r="AF1074" i="10"/>
  <c r="AF2121" i="10"/>
  <c r="AF1312" i="10"/>
  <c r="AF911" i="10"/>
  <c r="AF809" i="10"/>
  <c r="AF2222" i="10"/>
  <c r="AF2423" i="10"/>
  <c r="AF291" i="10"/>
  <c r="AF789" i="10"/>
  <c r="AF2088" i="10"/>
  <c r="AF1088" i="10"/>
  <c r="AF1712" i="10"/>
  <c r="AF1971" i="10"/>
  <c r="AF328" i="10"/>
  <c r="AF2656" i="10"/>
  <c r="AF2660" i="10"/>
  <c r="AF614" i="10"/>
  <c r="AF341" i="10"/>
  <c r="AF736" i="10"/>
  <c r="AF883" i="10"/>
  <c r="AF662" i="10"/>
  <c r="AF2717" i="10"/>
  <c r="AF1819" i="10"/>
  <c r="AF2102" i="10"/>
  <c r="AF2793" i="10"/>
  <c r="AF1936" i="10"/>
  <c r="AF1298" i="10"/>
  <c r="AF2583" i="10"/>
  <c r="AF1418" i="10"/>
  <c r="AF325" i="10"/>
  <c r="AF1550" i="10"/>
  <c r="AF1664" i="10"/>
  <c r="AF2690" i="10"/>
  <c r="AF1115" i="10"/>
  <c r="AF2790" i="10"/>
  <c r="AF2072" i="10"/>
  <c r="AF2582" i="10"/>
  <c r="AF1878" i="10"/>
  <c r="AF2614" i="10"/>
  <c r="AF411" i="10"/>
  <c r="AF1060" i="10"/>
  <c r="AF817" i="10"/>
  <c r="AF1274" i="10"/>
  <c r="AF1536" i="10"/>
  <c r="AF1941" i="10"/>
  <c r="AF276" i="10"/>
  <c r="AF2175" i="10"/>
  <c r="AF2238" i="10"/>
  <c r="AF343" i="10"/>
  <c r="AF2179" i="10"/>
  <c r="AF545" i="10"/>
  <c r="AF2466" i="10"/>
  <c r="AF2017" i="10"/>
  <c r="AF711" i="10"/>
  <c r="AF881" i="10"/>
  <c r="AF1168" i="10"/>
  <c r="AF1330" i="10"/>
  <c r="AF973" i="10"/>
  <c r="AF1452" i="10"/>
  <c r="AF2079" i="10"/>
  <c r="AF1070" i="10"/>
  <c r="AF2535" i="10"/>
  <c r="AF1624" i="10"/>
  <c r="AF1934" i="10"/>
  <c r="AF2723" i="10"/>
  <c r="AF679" i="10"/>
  <c r="AF1340" i="10"/>
  <c r="AF2496" i="10"/>
  <c r="AF1659" i="10"/>
  <c r="AF1139" i="10"/>
  <c r="AF1024" i="10"/>
  <c r="AF2435" i="10"/>
  <c r="AF1438" i="10"/>
  <c r="AF1500" i="10"/>
  <c r="AF1969" i="10"/>
  <c r="AF1171" i="10"/>
  <c r="AF2637" i="10"/>
  <c r="AF1226" i="10"/>
  <c r="AF1317" i="10"/>
  <c r="AF2098" i="10"/>
  <c r="AF1428" i="10"/>
  <c r="AF2125" i="10"/>
  <c r="AF828" i="10"/>
  <c r="AF1989" i="10"/>
  <c r="AF335" i="10"/>
  <c r="AF645" i="10"/>
  <c r="AF2354" i="10"/>
  <c r="AF1484" i="10"/>
  <c r="AF1432" i="10"/>
  <c r="AF2652" i="10"/>
  <c r="AF1770" i="10"/>
  <c r="AF2228" i="10"/>
  <c r="AF1268" i="10"/>
  <c r="AF1527" i="10"/>
  <c r="AF625" i="10"/>
  <c r="AF482" i="10"/>
  <c r="AF1951" i="10"/>
  <c r="AF340" i="10"/>
  <c r="AF1706" i="10"/>
  <c r="AF717" i="10"/>
  <c r="AF498" i="10"/>
  <c r="AF1061" i="10"/>
  <c r="AF1132" i="10"/>
  <c r="AF2586" i="10"/>
  <c r="AF278" i="10"/>
  <c r="AF357" i="10"/>
  <c r="AF2694" i="10"/>
  <c r="AF2600" i="10"/>
  <c r="AF2184" i="10"/>
  <c r="AF615" i="10"/>
  <c r="AF1166" i="10"/>
  <c r="AF490" i="10"/>
  <c r="AF585" i="10"/>
  <c r="AF850" i="10"/>
  <c r="AF1119" i="10"/>
  <c r="AF461" i="10"/>
  <c r="AF1557" i="10"/>
  <c r="AF755" i="10"/>
  <c r="AF383" i="10"/>
  <c r="AF1246" i="10"/>
  <c r="AF1523" i="10"/>
  <c r="AF1561" i="10"/>
  <c r="AF2737" i="10"/>
  <c r="AF301" i="10"/>
  <c r="AF1756" i="10"/>
  <c r="AF1607" i="10"/>
  <c r="AF1541" i="10"/>
  <c r="AF1192" i="10"/>
  <c r="AF1049" i="10"/>
  <c r="AF854" i="10"/>
  <c r="AF445" i="10"/>
  <c r="AF2227" i="10"/>
  <c r="AF2299" i="10"/>
  <c r="AF1445" i="10"/>
  <c r="AF1584" i="10"/>
  <c r="AF1598" i="10"/>
  <c r="AF2675" i="10"/>
  <c r="AF1038" i="10"/>
  <c r="AF1958" i="10"/>
  <c r="AF882" i="10"/>
  <c r="AF2581" i="10"/>
  <c r="AF652" i="10"/>
  <c r="AF2000" i="10"/>
  <c r="AF704" i="10"/>
  <c r="AF1293" i="10"/>
  <c r="AF444" i="10"/>
  <c r="AF2131" i="10"/>
  <c r="AF2655" i="10"/>
  <c r="AF2746" i="10"/>
  <c r="AF2163" i="10"/>
  <c r="AF1734" i="10"/>
  <c r="AF2128" i="10"/>
  <c r="AF2476" i="10"/>
  <c r="AF2518" i="10"/>
  <c r="AF319" i="10"/>
  <c r="AF707" i="10"/>
  <c r="AF1411" i="10"/>
  <c r="AF2403" i="10"/>
  <c r="AF2283" i="10"/>
  <c r="AF1953" i="10"/>
  <c r="AF1365" i="10"/>
  <c r="AF1129" i="10"/>
  <c r="AF2749" i="10"/>
  <c r="AF1627" i="10"/>
  <c r="AF2094" i="10"/>
  <c r="AF2288" i="10"/>
  <c r="AF2062" i="10"/>
  <c r="AF1389" i="10"/>
  <c r="AF2247" i="10"/>
  <c r="AF2785" i="10"/>
  <c r="AF814" i="10"/>
  <c r="AF506" i="10"/>
  <c r="AF2461" i="10"/>
  <c r="AF1713" i="10"/>
  <c r="AF2664" i="10"/>
  <c r="AF2575" i="10"/>
  <c r="AF2786" i="10"/>
  <c r="AF2766" i="10"/>
  <c r="AF2602" i="10"/>
  <c r="AF930" i="10"/>
  <c r="AF2303" i="10"/>
  <c r="AF1707" i="10"/>
  <c r="AF1573" i="10"/>
  <c r="AF2304" i="10"/>
  <c r="AF1900" i="10"/>
  <c r="AF1207" i="10"/>
  <c r="AF2501" i="10"/>
  <c r="AF2334" i="10"/>
  <c r="AF1919" i="10"/>
  <c r="AF1911" i="10"/>
  <c r="AF2800" i="10"/>
  <c r="AF2417" i="10"/>
  <c r="AF810" i="10"/>
  <c r="AF2776" i="10"/>
  <c r="AF2769" i="10"/>
  <c r="AF1957" i="10"/>
  <c r="AF1615" i="10"/>
  <c r="AF1187" i="10"/>
  <c r="AF2365" i="10"/>
  <c r="AF1042" i="10"/>
  <c r="AF938" i="10"/>
  <c r="AF1053" i="10"/>
  <c r="AF1822" i="10"/>
  <c r="AF1278" i="10"/>
  <c r="AF2653" i="10"/>
  <c r="AF568" i="10"/>
  <c r="AF1270" i="10"/>
  <c r="AF1409" i="10"/>
  <c r="AF1220" i="10"/>
  <c r="AF993" i="10"/>
  <c r="AF1583" i="10"/>
  <c r="AF605" i="10"/>
  <c r="AF2351" i="10"/>
  <c r="AF640" i="10"/>
  <c r="AF1831" i="10"/>
  <c r="AF2643" i="10"/>
  <c r="AF434" i="10"/>
  <c r="AF542" i="10"/>
  <c r="AF2663" i="10"/>
  <c r="AF590" i="10"/>
  <c r="AF2384" i="10"/>
  <c r="AF1458" i="10"/>
  <c r="AF2779" i="10"/>
  <c r="AF1273" i="10"/>
  <c r="AF1488" i="10"/>
  <c r="AF1611" i="10"/>
  <c r="AF1873" i="10"/>
  <c r="AF2306" i="10"/>
  <c r="AF2235" i="10"/>
  <c r="AF1853" i="10"/>
  <c r="AF2387" i="10"/>
  <c r="AF1091" i="10"/>
  <c r="AF987" i="10"/>
  <c r="AF485" i="10"/>
  <c r="AF2537" i="10"/>
  <c r="AF716" i="10"/>
  <c r="AF1322" i="10"/>
  <c r="AF1801" i="10"/>
  <c r="AF515" i="10"/>
  <c r="AF1932" i="10"/>
  <c r="AF1247" i="10"/>
  <c r="AF2489" i="10"/>
  <c r="AF1050" i="10"/>
  <c r="AF1172" i="10"/>
  <c r="AF1062" i="10"/>
  <c r="AF2700" i="10"/>
  <c r="AF537" i="10"/>
  <c r="AF2298" i="10"/>
  <c r="AF2004" i="10"/>
  <c r="AF321" i="10"/>
  <c r="AF1416" i="10"/>
  <c r="AF1424" i="10"/>
  <c r="AF2033" i="10"/>
  <c r="AF1269" i="10"/>
  <c r="AF501" i="10"/>
  <c r="AF1502" i="10"/>
  <c r="AF286" i="10"/>
  <c r="AF2139" i="10"/>
  <c r="AF1832" i="10"/>
  <c r="AF1824" i="10"/>
  <c r="AF2225" i="10"/>
  <c r="AF2428" i="10"/>
  <c r="AF1755" i="10"/>
  <c r="AF2676" i="10"/>
  <c r="AF2254" i="10"/>
  <c r="AF1481" i="10"/>
  <c r="AF376" i="10"/>
  <c r="AF1675" i="10"/>
  <c r="AF1398" i="10"/>
  <c r="AF925" i="10"/>
  <c r="AF1692" i="10"/>
  <c r="AF2549" i="10"/>
  <c r="AF873" i="10"/>
  <c r="AF2349" i="10"/>
  <c r="AF896" i="10"/>
  <c r="AF535" i="10"/>
  <c r="AF788" i="10"/>
  <c r="AF1094" i="10"/>
  <c r="AF2584" i="10"/>
  <c r="AF1141" i="10"/>
  <c r="AF1867" i="10"/>
  <c r="AF2599" i="10"/>
  <c r="AF1897" i="10"/>
  <c r="AF610" i="10"/>
  <c r="AF2547" i="10"/>
  <c r="AF2708" i="10"/>
  <c r="AF2262" i="10"/>
  <c r="AF1847" i="10"/>
  <c r="AF921" i="10"/>
  <c r="AF1052" i="10"/>
  <c r="AF2574" i="10"/>
  <c r="AF1156" i="10"/>
  <c r="AF1866" i="10"/>
  <c r="AF738" i="10"/>
  <c r="AF2374" i="10"/>
  <c r="AF2172" i="10"/>
  <c r="AF1086" i="10"/>
  <c r="AF616" i="10"/>
  <c r="AF1634" i="10"/>
  <c r="AF1098" i="10"/>
  <c r="AF2347" i="10"/>
  <c r="AF384" i="10"/>
  <c r="AF364" i="10"/>
  <c r="AF697" i="10"/>
  <c r="AF836" i="10"/>
  <c r="AF2500" i="10"/>
  <c r="AF1338" i="10"/>
  <c r="AF1043" i="10"/>
  <c r="AF1749" i="10"/>
  <c r="AF2368" i="10"/>
  <c r="AF2629" i="10"/>
  <c r="AF621" i="10"/>
  <c r="AF1374" i="10"/>
  <c r="AF474" i="10"/>
  <c r="AF1648" i="10"/>
  <c r="AF673" i="10"/>
  <c r="AF961" i="10"/>
  <c r="AF2729" i="10"/>
  <c r="AF1830" i="10"/>
  <c r="AF1113" i="10"/>
  <c r="AF1012" i="10"/>
  <c r="AF669" i="10"/>
  <c r="AF1479" i="10"/>
  <c r="AF1973" i="10"/>
  <c r="AF2551" i="10"/>
  <c r="AF2291" i="10"/>
  <c r="AF2527" i="10"/>
  <c r="AF2639" i="10"/>
  <c r="AF1694" i="10"/>
  <c r="AF1285" i="10"/>
  <c r="AF2481" i="10"/>
  <c r="AF2606" i="10"/>
  <c r="AF2217" i="10"/>
  <c r="AF747" i="10"/>
  <c r="AF2364" i="10"/>
  <c r="AF2071" i="10"/>
  <c r="AF2514" i="10"/>
  <c r="AF833" i="10"/>
  <c r="AF1058" i="10"/>
  <c r="AF2284" i="10"/>
  <c r="AF1026" i="10"/>
  <c r="AF2701" i="10"/>
  <c r="AF1722" i="10"/>
  <c r="AF1245" i="10"/>
  <c r="AF457" i="10"/>
  <c r="AF1306" i="10"/>
  <c r="AF1352" i="10"/>
  <c r="AF1717" i="10"/>
  <c r="AF1745" i="10"/>
  <c r="AF1477" i="10"/>
  <c r="AF725" i="10"/>
  <c r="AF1924" i="10"/>
  <c r="AF990" i="10"/>
  <c r="AF2212" i="10"/>
  <c r="AF1914" i="10"/>
  <c r="AF927" i="10"/>
  <c r="AF1068" i="10"/>
  <c r="AF1446" i="10"/>
  <c r="AF2024" i="10"/>
  <c r="AF1229" i="10"/>
  <c r="AF2104" i="10"/>
  <c r="AF1300" i="10"/>
  <c r="AF1689" i="10"/>
  <c r="AF2294" i="10"/>
  <c r="AF2682" i="10"/>
  <c r="AF518" i="10"/>
  <c r="AF571" i="10"/>
  <c r="AF2204" i="10"/>
  <c r="AF1938" i="10"/>
  <c r="AF2499" i="10"/>
  <c r="AF815" i="10"/>
  <c r="AF2594" i="10"/>
  <c r="AF1838" i="10"/>
  <c r="AF403" i="10"/>
  <c r="AF974" i="10"/>
  <c r="AF1357" i="10"/>
  <c r="AF1730" i="10"/>
  <c r="AF2390" i="10"/>
  <c r="AF427" i="10"/>
  <c r="AF2758" i="10"/>
  <c r="AF710" i="10"/>
  <c r="AF2118" i="10"/>
  <c r="AF1110" i="10"/>
  <c r="AF2307" i="10"/>
  <c r="AF634" i="10"/>
  <c r="AF2571" i="10"/>
  <c r="AF635" i="10"/>
  <c r="AF1620" i="10"/>
  <c r="AF2612" i="10"/>
  <c r="AF1985" i="10"/>
  <c r="AF783" i="10"/>
  <c r="AF2145" i="10"/>
  <c r="AF1393" i="10"/>
  <c r="AF2647" i="10"/>
  <c r="AF2369" i="10"/>
  <c r="AF1623" i="10"/>
  <c r="AF1399" i="10"/>
  <c r="AF713" i="10"/>
  <c r="AF1750" i="10"/>
  <c r="AF2777" i="10"/>
  <c r="AF2578" i="10"/>
  <c r="AF875" i="10"/>
  <c r="AF516" i="10"/>
  <c r="AF1731" i="10"/>
  <c r="AF2773" i="10"/>
  <c r="AF975" i="10"/>
  <c r="AF587" i="10"/>
  <c r="AF1071" i="10"/>
  <c r="AF1813" i="10"/>
  <c r="AF560" i="10"/>
  <c r="AF2242" i="10"/>
  <c r="AF1593" i="10"/>
  <c r="AF901" i="10"/>
  <c r="AF561" i="10"/>
  <c r="AF2140" i="10"/>
  <c r="AF1872" i="10"/>
  <c r="AF617" i="10"/>
  <c r="AF370" i="10"/>
  <c r="AF527" i="10"/>
  <c r="AF1380" i="10"/>
  <c r="AF296" i="10"/>
  <c r="AF852" i="10"/>
  <c r="AF1104" i="10"/>
  <c r="AF1041" i="10"/>
  <c r="AF1006" i="10"/>
  <c r="AF2341" i="10"/>
  <c r="AF1788" i="10"/>
  <c r="AF2315" i="10"/>
  <c r="AF775" i="10"/>
  <c r="AF1597" i="10"/>
  <c r="AF1018" i="10"/>
  <c r="AF2039" i="10"/>
  <c r="AF855" i="10"/>
  <c r="AF1574" i="10"/>
  <c r="AF2075" i="10"/>
  <c r="AF2276" i="10"/>
  <c r="AF1238" i="10"/>
  <c r="AF2190" i="10"/>
  <c r="AF274" i="10"/>
  <c r="AF347" i="10"/>
  <c r="AF514" i="10"/>
  <c r="AF1186" i="10"/>
  <c r="AF1231" i="10"/>
  <c r="AF1362" i="10"/>
  <c r="AF2516" i="10"/>
  <c r="AF1773" i="10"/>
  <c r="AF2508" i="10"/>
  <c r="AF2255" i="10"/>
  <c r="AF2479" i="10"/>
  <c r="AF1699" i="10"/>
  <c r="AF2778" i="10"/>
  <c r="AF1903" i="10"/>
  <c r="AF288" i="10"/>
  <c r="AF2698" i="10"/>
  <c r="AF1875" i="10"/>
  <c r="AF2692" i="10"/>
  <c r="AF1157" i="10"/>
  <c r="AF1720" i="10"/>
  <c r="AF1956" i="10"/>
  <c r="AF1942" i="10"/>
  <c r="AF1277" i="10"/>
  <c r="AF1768" i="10"/>
  <c r="AF613" i="10"/>
  <c r="AF839" i="10"/>
  <c r="AF2078" i="10"/>
  <c r="AF1250" i="10"/>
  <c r="AF282" i="10"/>
  <c r="AF1264" i="10"/>
  <c r="AF1435" i="10"/>
  <c r="AF586" i="10"/>
  <c r="AF1610" i="10"/>
  <c r="AF2069" i="10"/>
  <c r="AF777" i="10"/>
  <c r="AF2286" i="10"/>
  <c r="AF284" i="10"/>
  <c r="AF290" i="10"/>
  <c r="AF426" i="10"/>
  <c r="AF1639" i="10"/>
  <c r="AF2292" i="10"/>
  <c r="AF1553" i="10"/>
  <c r="AF2244" i="10"/>
  <c r="AF1538" i="10"/>
  <c r="AF2207" i="10"/>
  <c r="AF367" i="10"/>
  <c r="AF591" i="10"/>
  <c r="AF2170" i="10"/>
  <c r="AF1109" i="10"/>
  <c r="AF551" i="10"/>
  <c r="AF1792" i="10"/>
  <c r="AF1384" i="10"/>
  <c r="AF1316" i="10"/>
  <c r="AF2545" i="10"/>
  <c r="AF1641" i="10"/>
  <c r="AF924" i="10"/>
  <c r="AF2546" i="10"/>
  <c r="AF1850" i="10"/>
  <c r="AF2206" i="10"/>
  <c r="AF495" i="10"/>
  <c r="AF2034" i="10"/>
  <c r="AF2388" i="10"/>
  <c r="AF2203" i="10"/>
  <c r="AF2316" i="10"/>
  <c r="AF919" i="10"/>
  <c r="AF1031" i="10"/>
  <c r="AF2130" i="10"/>
  <c r="AF765" i="10"/>
  <c r="AF2488" i="10"/>
  <c r="AF742" i="10"/>
  <c r="AF2275" i="10"/>
  <c r="AF959" i="10"/>
  <c r="AF2625" i="10"/>
  <c r="AF2597" i="10"/>
  <c r="AF487" i="10"/>
  <c r="AF2425" i="10"/>
  <c r="AF1472" i="10"/>
  <c r="AF779" i="10"/>
  <c r="AF1809" i="10"/>
  <c r="AF1355" i="10"/>
  <c r="AF737" i="10"/>
  <c r="AF1673" i="10"/>
  <c r="AF2610" i="10"/>
  <c r="AF2782" i="10"/>
  <c r="AF2430" i="10"/>
  <c r="AF2211" i="10"/>
  <c r="AF2445" i="10"/>
  <c r="AF2324" i="10"/>
  <c r="AF1625" i="10"/>
  <c r="AF1895" i="10"/>
  <c r="AF1146" i="10"/>
  <c r="AF375" i="10"/>
  <c r="AF2753" i="10"/>
  <c r="AF2271" i="10"/>
  <c r="AF1547" i="10"/>
  <c r="AF631" i="10"/>
  <c r="AF2043" i="10"/>
  <c r="AF1490" i="10"/>
  <c r="AF2457" i="10"/>
  <c r="AF1083" i="10"/>
  <c r="AF2210" i="10"/>
  <c r="AF1023" i="10"/>
  <c r="AF412" i="10"/>
  <c r="AF2382" i="10"/>
  <c r="AF1178" i="10"/>
  <c r="AF2297" i="10"/>
  <c r="AF2073" i="10"/>
  <c r="AF1854" i="10"/>
  <c r="AF2593" i="10"/>
  <c r="AF2580" i="10"/>
  <c r="AF2287" i="10"/>
  <c r="AF1056" i="10"/>
  <c r="AF356" i="10"/>
  <c r="AF1082" i="10"/>
  <c r="AF1856" i="10"/>
  <c r="AF1029" i="10"/>
  <c r="AF681" i="10"/>
  <c r="AF857" i="10"/>
  <c r="AF1045" i="10"/>
  <c r="AF1510" i="10"/>
  <c r="AF1046" i="10"/>
  <c r="AF1436" i="10"/>
  <c r="AF715" i="10"/>
  <c r="AF2756" i="10"/>
  <c r="AF2577" i="10"/>
  <c r="AF1346" i="10"/>
  <c r="AF1549" i="10"/>
  <c r="AF563" i="10"/>
  <c r="AF523" i="10"/>
  <c r="AF2049" i="10"/>
  <c r="AF1149" i="10"/>
  <c r="AF1099" i="10"/>
  <c r="AF1521" i="10"/>
  <c r="AF2301" i="10"/>
  <c r="AF2462" i="10"/>
  <c r="AF1658" i="10"/>
  <c r="AF1636" i="10"/>
  <c r="AF2246" i="10"/>
  <c r="AF1915" i="10"/>
  <c r="AF1696" i="10"/>
  <c r="AF1798" i="10"/>
  <c r="AF1669" i="10"/>
  <c r="AF1295" i="10"/>
  <c r="AF2194" i="10"/>
  <c r="AF2579" i="10"/>
  <c r="AF2096" i="10"/>
  <c r="AF2237" i="10"/>
  <c r="AF1329" i="10"/>
  <c r="AF2157" i="10"/>
  <c r="AF2738" i="10"/>
  <c r="AF267" i="10"/>
  <c r="AF905" i="10"/>
  <c r="AF957" i="10"/>
  <c r="AF2678" i="10"/>
  <c r="AF1301" i="10"/>
  <c r="AF2054" i="10"/>
  <c r="AF1944" i="10"/>
  <c r="AF574" i="10"/>
  <c r="AF1683" i="10"/>
  <c r="AF2154" i="10"/>
  <c r="AF1782" i="10"/>
  <c r="AF1516" i="10"/>
  <c r="AF1201" i="10"/>
  <c r="AF1805" i="10"/>
  <c r="AF1514" i="10"/>
  <c r="AF275" i="10"/>
  <c r="AF1369" i="10"/>
  <c r="AF2587" i="10"/>
  <c r="AF1848" i="10"/>
  <c r="AF1308" i="10"/>
  <c r="AF749" i="10"/>
  <c r="AF769" i="10"/>
  <c r="AF310" i="10"/>
  <c r="AF1896" i="10"/>
  <c r="AF2323" i="10"/>
  <c r="AF1160" i="10"/>
  <c r="AF856" i="10"/>
  <c r="AF2570" i="10"/>
  <c r="AF1010" i="10"/>
  <c r="AF703" i="10"/>
  <c r="AF798" i="10"/>
  <c r="AF1650" i="10"/>
  <c r="AF283" i="10"/>
  <c r="AF372" i="10"/>
  <c r="AF360" i="10"/>
  <c r="AF1107" i="10"/>
  <c r="AF2314" i="10"/>
  <c r="AF2636" i="10"/>
  <c r="AF2398" i="10"/>
  <c r="AF2569" i="10"/>
  <c r="AF2269" i="10"/>
  <c r="AF2258" i="10"/>
  <c r="AF918" i="10"/>
  <c r="AF1898" i="10"/>
  <c r="AF963" i="10"/>
  <c r="AF1347" i="10"/>
  <c r="AF1828" i="10"/>
  <c r="AF2325" i="10"/>
  <c r="AF1368" i="10"/>
  <c r="AF1164" i="10"/>
  <c r="AF1646" i="10"/>
  <c r="AF2515" i="10"/>
  <c r="AF2686" i="10"/>
  <c r="AF2391" i="10"/>
  <c r="AF389" i="10"/>
  <c r="AF2142" i="10"/>
  <c r="AF1977" i="10"/>
  <c r="AF489" i="10"/>
  <c r="AF2640" i="10"/>
  <c r="AF471" i="10"/>
  <c r="AF2712" i="10"/>
  <c r="AF2797" i="10"/>
  <c r="AF624" i="10"/>
  <c r="AF2362" i="10"/>
  <c r="AF1267" i="10"/>
  <c r="AF727" i="10"/>
  <c r="AF639" i="10"/>
  <c r="AF985" i="10"/>
  <c r="AF1851" i="10"/>
  <c r="AF2504" i="10"/>
  <c r="AF1422" i="10"/>
  <c r="AF2486" i="10"/>
  <c r="AF2744" i="10"/>
  <c r="AF402" i="10"/>
  <c r="AF2318" i="10"/>
  <c r="AF826" i="10"/>
  <c r="AF803" i="10"/>
  <c r="AF849" i="10"/>
  <c r="AF2151" i="10"/>
  <c r="AF2404" i="10"/>
  <c r="AF2727" i="10"/>
  <c r="AF2386" i="10"/>
  <c r="AF764" i="10"/>
  <c r="AF366" i="10"/>
  <c r="AF2718" i="10"/>
  <c r="AF2591" i="10"/>
  <c r="AF1451" i="10"/>
  <c r="AF1892" i="10"/>
  <c r="AF517" i="10"/>
  <c r="AF866" i="10"/>
  <c r="AF1667" i="10"/>
  <c r="AF2447" i="10"/>
  <c r="AF2783" i="10"/>
  <c r="AF2029" i="10"/>
  <c r="AF1011" i="10"/>
  <c r="AF1256" i="10"/>
  <c r="AF2182" i="10"/>
  <c r="AF658" i="10"/>
  <c r="AF2116" i="10"/>
  <c r="AF1710" i="10"/>
  <c r="AF994" i="10"/>
  <c r="AF589" i="10"/>
  <c r="AF2755" i="10"/>
  <c r="AF892" i="10"/>
  <c r="AF1759" i="10"/>
  <c r="AF2259" i="10"/>
  <c r="AF2585" i="10"/>
  <c r="AF695" i="10"/>
  <c r="AF702" i="10"/>
  <c r="AF2784" i="10"/>
  <c r="AF722" i="10"/>
  <c r="AF1695" i="10"/>
  <c r="AF2216" i="10"/>
  <c r="AF439" i="10"/>
  <c r="AF1276" i="10"/>
  <c r="AF2619" i="10"/>
  <c r="AF435" i="10"/>
  <c r="AF1530" i="10"/>
  <c r="AF1672" i="10"/>
  <c r="AF923" i="10"/>
  <c r="AF1087" i="10"/>
  <c r="AF884" i="10"/>
  <c r="AF2208" i="10"/>
  <c r="AF1947" i="10"/>
  <c r="AF2280" i="10"/>
  <c r="AF732" i="10"/>
  <c r="AF1769" i="10"/>
  <c r="AF1017" i="10"/>
  <c r="AF914" i="10"/>
  <c r="AF2012" i="10"/>
  <c r="AF1826" i="10"/>
  <c r="AF1723" i="10"/>
  <c r="AF2035" i="10"/>
  <c r="AF1816" i="10"/>
  <c r="AF1637" i="10"/>
  <c r="AF564" i="10"/>
  <c r="AF682" i="10"/>
  <c r="AF1443" i="10"/>
  <c r="AF484" i="10"/>
  <c r="AF440" i="10"/>
  <c r="AF2337" i="10"/>
  <c r="AF2260" i="10"/>
  <c r="AF295" i="10"/>
  <c r="AF2562" i="10"/>
  <c r="AF678" i="10"/>
  <c r="AF1600" i="10"/>
  <c r="AF2667" i="10"/>
  <c r="AF872" i="10"/>
  <c r="AF1464" i="10"/>
  <c r="AF991" i="10"/>
  <c r="AF1162" i="10"/>
  <c r="AF754" i="10"/>
  <c r="AF1382" i="10"/>
  <c r="AF1978" i="10"/>
  <c r="AF2472" i="10"/>
  <c r="AF758" i="10"/>
  <c r="AF2197" i="10"/>
  <c r="AF2471" i="10"/>
  <c r="AF1130" i="10"/>
  <c r="AF1955" i="10"/>
  <c r="AF2474" i="10"/>
  <c r="AF2185" i="10"/>
  <c r="AF1744" i="10"/>
  <c r="AF557" i="10"/>
  <c r="AF2045" i="10"/>
  <c r="AF2524" i="10"/>
  <c r="AF2438" i="10"/>
  <c r="AF1370" i="10"/>
  <c r="AF2416" i="10"/>
  <c r="AF780" i="10"/>
  <c r="AF1353" i="10"/>
  <c r="AF2510" i="10"/>
  <c r="AF575" i="10"/>
  <c r="AF818" i="10"/>
  <c r="AF796" i="10"/>
  <c r="AF909" i="10"/>
  <c r="AF2487" i="10"/>
  <c r="AF2058" i="10"/>
  <c r="AF1681" i="10"/>
  <c r="AF2335" i="10"/>
  <c r="AF2573" i="10"/>
  <c r="AF1849" i="10"/>
  <c r="AF899" i="10"/>
  <c r="AF2002" i="10"/>
  <c r="AF1709" i="10"/>
  <c r="AF804" i="10"/>
  <c r="AF1180" i="10"/>
  <c r="AF1839" i="10"/>
  <c r="AF2196" i="10"/>
  <c r="AF2327" i="10"/>
  <c r="AF1797" i="10"/>
  <c r="AF2166" i="10"/>
  <c r="AF382" i="10"/>
  <c r="AF1299" i="10"/>
  <c r="AF1486" i="10"/>
  <c r="AF820" i="10"/>
  <c r="AF2339" i="10"/>
  <c r="AF1943" i="10"/>
  <c r="AF945" i="10"/>
  <c r="AF333" i="10"/>
  <c r="AF1140" i="10"/>
  <c r="AF861" i="10"/>
  <c r="AF2563" i="10"/>
  <c r="AF1998" i="10"/>
  <c r="AF1307" i="10"/>
  <c r="AF2065" i="10"/>
  <c r="AF912" i="10"/>
  <c r="AF1817" i="10"/>
  <c r="AF2531" i="10"/>
  <c r="AF1606" i="10"/>
  <c r="AF1260" i="10"/>
  <c r="AF607" i="10"/>
  <c r="AF2635" i="10"/>
  <c r="AF431" i="10"/>
  <c r="AF1560" i="10"/>
  <c r="AF594" i="10"/>
  <c r="AF1324" i="10"/>
  <c r="AF1454" i="10"/>
  <c r="AF1705" i="10"/>
  <c r="AF1649" i="10"/>
  <c r="AF332" i="10"/>
  <c r="AF336" i="10"/>
  <c r="AF1930" i="10"/>
  <c r="AF1457" i="10"/>
  <c r="AF1603" i="10"/>
  <c r="AF1825" i="10"/>
  <c r="AF1837" i="10"/>
  <c r="AF1888" i="10"/>
  <c r="AF2720" i="10"/>
  <c r="AF1920" i="10"/>
  <c r="AF2067" i="10"/>
  <c r="AF1601" i="10"/>
  <c r="AF1391" i="10"/>
  <c r="AF2722" i="10"/>
  <c r="AF451" i="10"/>
  <c r="AF2174" i="10"/>
  <c r="AF386" i="10"/>
  <c r="AF1544" i="10"/>
  <c r="AF1360" i="10"/>
  <c r="AF2143" i="10"/>
  <c r="AF1760" i="10"/>
  <c r="AF2482" i="10"/>
  <c r="AF2148" i="10"/>
  <c r="AF277" i="10"/>
  <c r="AF1184" i="10"/>
  <c r="AF2422" i="10"/>
  <c r="AF675" i="10"/>
  <c r="AF521" i="10"/>
  <c r="AF2356" i="10"/>
  <c r="AF323" i="10"/>
  <c r="AF1111" i="10"/>
  <c r="AF1644" i="10"/>
  <c r="AF1142" i="10"/>
  <c r="AF1313" i="10"/>
  <c r="AF1415" i="10"/>
  <c r="AF831" i="10"/>
  <c r="AF802" i="10"/>
  <c r="AF2248" i="10"/>
  <c r="AF1055" i="10"/>
  <c r="AF280" i="10"/>
  <c r="AF2689" i="10"/>
  <c r="AF1677" i="10"/>
  <c r="AF452" i="10"/>
  <c r="AF1077" i="10"/>
  <c r="AF969" i="10"/>
  <c r="AF665" i="10"/>
  <c r="AF2507" i="10"/>
  <c r="AF2357" i="10"/>
  <c r="AF2395" i="10"/>
  <c r="AF2150" i="10"/>
  <c r="AF2344" i="10"/>
  <c r="AF2662" i="10"/>
  <c r="AF1067" i="10"/>
  <c r="AF1135" i="10"/>
  <c r="AF1565" i="10"/>
  <c r="AF1167" i="10"/>
  <c r="AF1211" i="10"/>
  <c r="AF2152" i="10"/>
  <c r="AF835" i="10"/>
  <c r="AF1865" i="10"/>
  <c r="AF1176" i="10"/>
  <c r="AF1345" i="10"/>
  <c r="AF408" i="10"/>
  <c r="AF414" i="10"/>
  <c r="AF304" i="10"/>
  <c r="AF2439" i="10"/>
  <c r="AF1729" i="10"/>
  <c r="AF532" i="10"/>
  <c r="AF1902" i="10"/>
  <c r="AF2234" i="10"/>
  <c r="AF772" i="10"/>
  <c r="AF1396" i="10"/>
  <c r="AF2685" i="10"/>
  <c r="AF1019" i="10"/>
  <c r="AF2353" i="10"/>
  <c r="AF2432" i="10"/>
  <c r="AF757" i="10"/>
  <c r="AF1325" i="10"/>
  <c r="AF2770" i="10"/>
  <c r="AF1376" i="10"/>
  <c r="AF1599" i="10"/>
  <c r="AF1728" i="10"/>
  <c r="AF1870" i="10"/>
  <c r="AF581" i="10"/>
  <c r="AF1562" i="10"/>
  <c r="AF1195" i="10"/>
  <c r="AF986" i="10"/>
  <c r="AF2295" i="10"/>
  <c r="AF1209" i="10"/>
  <c r="AF388" i="10"/>
  <c r="AF1381" i="10"/>
  <c r="AF939" i="10"/>
  <c r="AF1608" i="10"/>
  <c r="AF1968" i="10"/>
  <c r="AF2022" i="10"/>
  <c r="AF530" i="10"/>
  <c r="AF1662" i="10"/>
  <c r="AF792" i="10"/>
  <c r="AF320" i="10"/>
  <c r="AF2651" i="10"/>
  <c r="AF1894" i="10"/>
  <c r="AF1753" i="10"/>
  <c r="AF1065" i="10"/>
  <c r="AF1570" i="10"/>
  <c r="AF1414" i="10"/>
  <c r="AF2657" i="10"/>
  <c r="AF2695" i="10"/>
  <c r="AF2273" i="10"/>
  <c r="AF2177" i="10"/>
  <c r="AF1499" i="10"/>
  <c r="AF2715" i="10"/>
  <c r="AF1473" i="10"/>
  <c r="AF837" i="10"/>
  <c r="AF1522" i="10"/>
  <c r="AF1232" i="10"/>
  <c r="AF2672" i="10"/>
  <c r="AF629" i="10"/>
  <c r="AF1881" i="10"/>
  <c r="AF2442" i="10"/>
  <c r="AF797" i="10"/>
  <c r="AF436" i="10"/>
  <c r="AF1511" i="10"/>
  <c r="AF647" i="10"/>
  <c r="AF745" i="10"/>
  <c r="AF2389" i="10"/>
  <c r="AF887" i="10"/>
  <c r="AF2370" i="10"/>
  <c r="AF1216" i="10"/>
  <c r="AF858" i="10"/>
  <c r="AF622" i="10"/>
  <c r="AF1134" i="10"/>
  <c r="AF2469" i="10"/>
  <c r="AF438" i="10"/>
  <c r="AF2001" i="10"/>
  <c r="AF2366" i="10"/>
  <c r="AF496" i="10"/>
  <c r="AF302" i="10"/>
  <c r="AF308" i="10"/>
  <c r="AF1003" i="10"/>
  <c r="AF687" i="10"/>
  <c r="AF1815" i="10"/>
  <c r="AF1153" i="10"/>
  <c r="AF1580" i="10"/>
  <c r="AF2677" i="10"/>
  <c r="AF466" i="10"/>
  <c r="AF1591" i="10"/>
  <c r="AF1236" i="10"/>
  <c r="AF1402" i="10"/>
  <c r="AF2233" i="10"/>
  <c r="AF2321" i="10"/>
  <c r="AF453" i="10"/>
  <c r="AF339" i="10"/>
  <c r="AF1495" i="10"/>
  <c r="AF1364" i="10"/>
  <c r="AF1193" i="10"/>
  <c r="AF1796" i="10"/>
  <c r="AF2409" i="10"/>
  <c r="AF1321" i="10"/>
  <c r="AF2633" i="10"/>
  <c r="AF547" i="10"/>
  <c r="AF595" i="10"/>
  <c r="AF2319" i="10"/>
  <c r="AF953" i="10"/>
  <c r="AF988" i="10"/>
  <c r="AF597" i="10"/>
  <c r="AF653" i="10"/>
  <c r="AF2696" i="10"/>
  <c r="AF1253" i="10"/>
  <c r="AF359" i="10"/>
  <c r="AF950" i="10"/>
  <c r="AF1066" i="10"/>
  <c r="AF2565" i="10"/>
  <c r="AF2703" i="10"/>
  <c r="AF522" i="10"/>
  <c r="AF1421" i="10"/>
  <c r="AF1993" i="10"/>
  <c r="AF1885" i="10"/>
  <c r="AF1212" i="10"/>
  <c r="AF2229" i="10"/>
  <c r="AF2648" i="10"/>
  <c r="AF1671" i="10"/>
  <c r="AF1751" i="10"/>
  <c r="AF2407" i="10"/>
  <c r="AF1105" i="10"/>
  <c r="AF874" i="10"/>
  <c r="AF2669" i="10"/>
  <c r="AF2739" i="10"/>
  <c r="AF771" i="10"/>
  <c r="AF1688" i="10"/>
  <c r="AF244" i="10"/>
  <c r="AF33" i="10"/>
  <c r="AF157" i="10"/>
  <c r="AF74" i="10"/>
  <c r="AF169" i="10"/>
  <c r="AF78" i="10"/>
  <c r="AF31" i="10"/>
  <c r="AF230" i="10"/>
  <c r="AF236" i="10"/>
  <c r="AF154" i="10"/>
  <c r="AF200" i="10"/>
  <c r="AF126" i="10"/>
  <c r="AF55" i="10"/>
  <c r="AF229" i="10"/>
  <c r="AF149" i="10"/>
  <c r="AF83" i="10"/>
  <c r="AF100" i="10"/>
  <c r="AF240" i="10"/>
  <c r="AF178" i="10"/>
  <c r="AF161" i="10"/>
  <c r="AF182" i="10"/>
  <c r="AF179" i="10"/>
  <c r="AF77" i="10"/>
  <c r="AF252" i="10"/>
  <c r="AF130" i="10"/>
  <c r="AF233" i="10"/>
  <c r="AF87" i="10"/>
  <c r="AF198" i="10"/>
  <c r="AF249" i="10"/>
  <c r="AF141" i="10"/>
  <c r="AF81" i="10"/>
  <c r="AF91" i="10"/>
  <c r="AF107" i="10"/>
  <c r="AF90" i="10"/>
  <c r="AF220" i="10"/>
  <c r="AF144" i="10"/>
  <c r="AF174" i="10"/>
  <c r="AF166" i="10"/>
  <c r="AF183" i="10"/>
  <c r="AF44" i="10"/>
  <c r="AF103" i="10"/>
  <c r="AF127" i="10"/>
  <c r="AF247" i="10"/>
  <c r="AF165" i="10"/>
  <c r="AF232" i="10"/>
  <c r="AF122" i="10"/>
  <c r="AF243" i="10"/>
  <c r="AF51" i="10"/>
  <c r="AF162" i="10"/>
  <c r="AF104" i="10"/>
  <c r="AF209" i="10"/>
  <c r="AF160" i="10"/>
  <c r="AF167" i="10"/>
  <c r="AF4" i="10"/>
  <c r="AF18" i="10"/>
  <c r="AF46" i="10"/>
  <c r="AF64" i="10"/>
  <c r="AF147" i="10"/>
  <c r="AF228" i="10"/>
  <c r="AF168" i="10"/>
  <c r="AF237" i="10"/>
  <c r="AF105" i="10"/>
  <c r="AF7" i="10"/>
  <c r="AF225" i="10"/>
  <c r="AF135" i="10"/>
  <c r="AF193" i="10"/>
  <c r="AF79" i="10"/>
  <c r="AF180" i="10"/>
  <c r="AF121" i="10"/>
  <c r="AF241" i="10"/>
  <c r="AF117" i="10"/>
  <c r="AF132" i="10"/>
  <c r="AF14" i="10"/>
  <c r="AF140" i="10"/>
  <c r="AF38" i="10"/>
  <c r="AF235" i="10"/>
  <c r="AF158" i="10"/>
  <c r="AF163" i="10"/>
  <c r="AF82" i="10"/>
  <c r="AF42" i="10"/>
  <c r="AF92" i="10"/>
  <c r="AF40" i="10"/>
  <c r="AF251" i="10"/>
  <c r="AF110" i="10"/>
  <c r="AF201" i="10"/>
  <c r="AF20" i="10"/>
  <c r="AF211" i="10"/>
  <c r="AF250" i="10"/>
  <c r="AF43" i="10"/>
  <c r="AF159" i="10"/>
  <c r="AF61" i="10"/>
  <c r="AF195" i="10"/>
  <c r="AF15" i="10"/>
  <c r="AF73" i="10"/>
  <c r="AF187" i="10"/>
  <c r="AF123" i="10"/>
  <c r="AF111" i="10"/>
  <c r="AF58" i="10"/>
  <c r="AF29" i="10"/>
  <c r="AF218" i="10"/>
  <c r="AF11" i="10"/>
  <c r="AF205" i="10"/>
  <c r="AF116" i="10"/>
  <c r="AF62" i="10"/>
  <c r="AF134" i="10"/>
  <c r="AF72" i="10"/>
  <c r="AF223" i="10"/>
  <c r="AF175" i="10"/>
  <c r="AF35" i="10"/>
  <c r="AF23" i="10"/>
  <c r="AF246" i="10"/>
  <c r="AF21" i="10"/>
  <c r="AF115" i="10"/>
  <c r="AF189" i="10"/>
  <c r="AF222" i="10"/>
  <c r="AF57" i="10"/>
  <c r="AF66" i="10"/>
  <c r="AF204" i="10"/>
  <c r="AF185" i="10"/>
  <c r="AF71" i="10"/>
  <c r="AE6" i="10"/>
  <c r="AF88" i="10"/>
  <c r="AF207" i="10"/>
  <c r="AF94" i="10"/>
  <c r="AF139" i="10"/>
  <c r="AF25" i="10"/>
  <c r="AF36" i="10"/>
  <c r="AF120" i="10"/>
  <c r="AF176" i="10"/>
  <c r="AF114" i="10"/>
  <c r="AF68" i="10"/>
  <c r="AF49" i="10"/>
  <c r="AF63" i="10"/>
  <c r="AF142" i="10"/>
  <c r="AF75" i="10"/>
  <c r="AF95" i="10"/>
  <c r="AF5" i="10"/>
  <c r="AF37" i="10"/>
  <c r="AF102" i="10"/>
  <c r="AF199" i="10"/>
  <c r="AF196" i="10"/>
  <c r="AF184" i="10"/>
  <c r="AF70" i="10"/>
  <c r="AF67" i="10"/>
  <c r="AF248" i="10"/>
  <c r="AF146" i="10"/>
  <c r="AF109" i="10"/>
  <c r="AF239" i="10"/>
  <c r="AF202" i="10"/>
  <c r="AF191" i="10"/>
  <c r="AF124" i="10"/>
  <c r="AF119" i="10"/>
  <c r="AF136" i="10"/>
  <c r="AF30" i="10"/>
  <c r="AF96" i="10"/>
  <c r="AF206" i="10"/>
  <c r="AF197" i="10"/>
  <c r="AF173" i="10"/>
  <c r="AF155" i="10"/>
  <c r="AF32" i="10"/>
  <c r="AF231" i="10"/>
  <c r="AF172" i="10"/>
  <c r="AF186" i="10"/>
  <c r="AF145" i="10"/>
  <c r="AF89" i="10"/>
  <c r="AF28" i="10"/>
  <c r="AF19" i="10"/>
  <c r="AF164" i="10"/>
  <c r="AF234" i="10"/>
  <c r="AF214" i="10"/>
  <c r="AF170" i="10"/>
  <c r="AF156" i="10"/>
  <c r="AF188" i="10"/>
  <c r="AF118" i="10"/>
  <c r="AF47" i="10"/>
  <c r="AF17" i="10"/>
  <c r="AF219" i="10"/>
  <c r="AF106" i="10"/>
  <c r="AF227" i="10"/>
  <c r="AF208" i="10"/>
  <c r="AF59" i="10"/>
  <c r="AF171" i="10"/>
  <c r="AF54" i="10"/>
  <c r="AF190" i="10"/>
  <c r="AF8" i="10"/>
  <c r="AF215" i="10"/>
  <c r="AF216" i="10"/>
  <c r="AF245" i="10"/>
  <c r="AF84" i="10"/>
  <c r="AF128" i="10"/>
  <c r="AF238" i="10"/>
  <c r="AF113" i="10"/>
  <c r="AF27" i="10"/>
  <c r="AF137" i="10"/>
  <c r="AF212" i="10"/>
  <c r="AF148" i="10"/>
  <c r="AF138" i="10"/>
  <c r="AF152" i="10"/>
  <c r="AF45" i="10"/>
  <c r="AF194" i="10"/>
  <c r="AF112" i="10"/>
  <c r="AF76" i="10"/>
  <c r="AF12" i="10"/>
  <c r="AF9" i="10"/>
  <c r="AF52" i="10"/>
  <c r="AF150" i="10"/>
  <c r="AF97" i="10"/>
  <c r="AF181" i="10"/>
  <c r="AF213" i="10"/>
  <c r="AF60" i="10"/>
  <c r="AF50" i="10"/>
  <c r="AF53" i="10"/>
  <c r="AF69" i="10"/>
  <c r="AF65" i="10"/>
  <c r="AF217" i="10"/>
  <c r="AF48" i="10"/>
  <c r="AF224" i="10"/>
  <c r="AF242" i="10"/>
  <c r="AF226" i="10"/>
  <c r="AF192" i="10"/>
  <c r="AF210" i="10"/>
  <c r="AF24" i="10"/>
  <c r="AF80" i="10"/>
  <c r="AF26" i="10"/>
  <c r="AF108" i="10"/>
  <c r="AF99" i="10"/>
  <c r="AF177" i="10"/>
  <c r="AF221" i="10"/>
  <c r="AF143" i="10"/>
  <c r="AF153" i="10"/>
  <c r="AF85" i="10"/>
  <c r="AF125" i="10"/>
  <c r="AF39" i="10"/>
  <c r="AF16" i="10"/>
  <c r="AF98" i="10"/>
  <c r="AF203" i="10"/>
  <c r="AF133" i="10"/>
  <c r="AF129" i="10"/>
  <c r="AF151" i="10"/>
  <c r="AF34" i="10"/>
  <c r="AF254" i="10"/>
  <c r="AF13" i="10"/>
  <c r="AF253" i="10"/>
  <c r="AF255" i="10"/>
  <c r="AF256" i="10"/>
  <c r="AF257" i="10"/>
  <c r="AF258" i="10"/>
  <c r="AF259" i="10"/>
  <c r="AF260" i="10"/>
  <c r="AF261" i="10"/>
  <c r="AF262" i="10"/>
  <c r="AF269" i="10"/>
  <c r="AF1519" i="10"/>
  <c r="AF2266" i="10"/>
  <c r="AF2558" i="10"/>
  <c r="AF1962" i="10"/>
  <c r="AF2289" i="10"/>
  <c r="AF1359" i="10"/>
  <c r="AF2232" i="10"/>
  <c r="AF465" i="10"/>
  <c r="AF656" i="10"/>
  <c r="AF2440" i="10"/>
  <c r="AF2598" i="10"/>
  <c r="AF2041" i="10"/>
  <c r="AF1518" i="10"/>
  <c r="AF567" i="10"/>
  <c r="AE2" i="10" l="1"/>
  <c r="AE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94564878-A030-4902-9988-9A6B7032B414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B5D3FC17-44C0-4206-918F-AC4DBFDD2938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72DAF458-4754-4C17-98D5-6A3813472233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42894AA2-C5B0-41B9-BE31-C46E9730FDB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4A33AAA4-DC32-49BB-923A-8446A8C433AB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70FB4CD1-65A4-4281-9DE9-505608E68077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6DC808F-3F79-436A-84C8-9FCFC7601D4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BA4D9E86-C906-4081-A7D6-4E641C872D3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67F08CAC-4402-4F52-AFD4-6B7B196E95E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6A1FDFD6-16E2-429A-A328-740C82D1FC75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9CD01D4-D891-4A7F-A77F-DD5DB3399BA0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D3FE761E-6184-42FB-AAD3-7D07852EF792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sharedStrings.xml><?xml version="1.0" encoding="utf-8"?>
<sst xmlns="http://schemas.openxmlformats.org/spreadsheetml/2006/main" count="15950" uniqueCount="3043">
  <si>
    <t xml:space="preserve">Wetland Name: </t>
  </si>
  <si>
    <t>Marked</t>
  </si>
  <si>
    <t>GPS &amp; Photo</t>
  </si>
  <si>
    <t>Elevation (ft., NAVD 1988)</t>
  </si>
  <si>
    <t>Type:</t>
  </si>
  <si>
    <t>Date:</t>
  </si>
  <si>
    <t>°</t>
  </si>
  <si>
    <r>
      <rPr>
        <b/>
        <sz val="11"/>
        <color theme="1"/>
        <rFont val="Calibri"/>
        <family val="2"/>
        <scheme val="minor"/>
      </rPr>
      <t>Comments:</t>
    </r>
    <r>
      <rPr>
        <sz val="11"/>
        <color theme="1"/>
        <rFont val="Calibri"/>
        <family val="2"/>
        <scheme val="minor"/>
      </rPr>
      <t xml:space="preserve"> </t>
    </r>
  </si>
  <si>
    <t xml:space="preserve">Indicator (point 1) </t>
  </si>
  <si>
    <t>Indicator (point 2)</t>
  </si>
  <si>
    <t xml:space="preserve">Transect:  </t>
  </si>
  <si>
    <t>Wetland Boundary</t>
  </si>
  <si>
    <t>Hydric @ Surface</t>
  </si>
  <si>
    <t>Muck @ Surface</t>
  </si>
  <si>
    <t xml:space="preserve">Surface Water Boundary </t>
  </si>
  <si>
    <r>
      <t></t>
    </r>
    <r>
      <rPr>
        <sz val="11"/>
        <color theme="1"/>
        <rFont val="Wingdings 3"/>
        <family val="1"/>
        <charset val="2"/>
      </rPr>
      <t></t>
    </r>
  </si>
  <si>
    <t xml:space="preserve">Soil Description </t>
  </si>
  <si>
    <t>Depth (Inches)</t>
  </si>
  <si>
    <t>Matrix Hue</t>
  </si>
  <si>
    <t xml:space="preserve">Notes: (Mottles/ Depletions/Concentrations Hue, Value, Chroma, % Volume; Boundary Diffuse/ Sharp/ Both; % Organic Coating) </t>
  </si>
  <si>
    <t xml:space="preserve">Hydric Soil Indicator(s) Present? </t>
  </si>
  <si>
    <t xml:space="preserve">Sandy Texture (Choose all that apply) </t>
  </si>
  <si>
    <t xml:space="preserve">All Texture (Choose all that apply)  </t>
  </si>
  <si>
    <t>Fine Texture (Choose all that apply)</t>
  </si>
  <si>
    <t>Indicator Present</t>
  </si>
  <si>
    <t>Beginning Depth (Inches)</t>
  </si>
  <si>
    <t>End Depth (Inches)</t>
  </si>
  <si>
    <t xml:space="preserve">Depth of Standing Water Table (the shallowest depth to free water that stands in an unlined borehole in Inches): </t>
  </si>
  <si>
    <t xml:space="preserve">Depth of Soil Profile (Inches): </t>
  </si>
  <si>
    <t xml:space="preserve">Soil Profile Photos: </t>
  </si>
  <si>
    <t xml:space="preserve">Staked &amp; Flagged: </t>
  </si>
  <si>
    <t>Yes</t>
  </si>
  <si>
    <t>No</t>
  </si>
  <si>
    <t xml:space="preserve">Vegetation </t>
  </si>
  <si>
    <t>Canopy</t>
  </si>
  <si>
    <t xml:space="preserve">Top Stratum: </t>
  </si>
  <si>
    <t>10x10</t>
  </si>
  <si>
    <t>3x3</t>
  </si>
  <si>
    <t>Photo(s) Taken?</t>
  </si>
  <si>
    <t>Sub-Canopy</t>
  </si>
  <si>
    <t>Ground cover</t>
  </si>
  <si>
    <t>1x1</t>
  </si>
  <si>
    <t>Abdra brachycarpa     (Shortpod Whitlowgrass)</t>
  </si>
  <si>
    <t>Abelia x grandiflora     (Largeflower Abelia)</t>
  </si>
  <si>
    <t>Abelmosches esculentus     (Okra)</t>
  </si>
  <si>
    <t>Abildgaardia ovata     (Flat-spike rush)</t>
  </si>
  <si>
    <t>Abrus precatorius     (Rosary Pea)</t>
  </si>
  <si>
    <t>Abutilon grandifolium     (Hairy Indian Mallow)</t>
  </si>
  <si>
    <t>Abutilon hirtium     (Florida Keys Indian Mallow)</t>
  </si>
  <si>
    <t>Abutilon hulseanum     (Mauve)</t>
  </si>
  <si>
    <t>Abutilon permolle     (Coastal Indian Mallow)</t>
  </si>
  <si>
    <t>Abutilon theophrasti     (Velvetleaf)</t>
  </si>
  <si>
    <t>Acacia auriculiformis     (Ear-leaved acacia)</t>
  </si>
  <si>
    <t>Acacia retinodes     (Water wattle)</t>
  </si>
  <si>
    <t>Acacia saligna     (Golden wreath wattle)</t>
  </si>
  <si>
    <t>Acaciella angustissima     (Prairie acacia)</t>
  </si>
  <si>
    <t>Acalypha alopecuroidea     (Foxtail copperleaf)</t>
  </si>
  <si>
    <t>Acalypha amentacea     (Wilkes' copperleaf)</t>
  </si>
  <si>
    <t>Acalypha arvensis     (Field copperleaf)</t>
  </si>
  <si>
    <t>Acalypha chamaedrifolia     (Bastard copperleaf)</t>
  </si>
  <si>
    <t>Acalypha gracilens     (Slender threeseed mercury)</t>
  </si>
  <si>
    <t>Acalypha ostryifolia     (Pineland threeseed mercury)</t>
  </si>
  <si>
    <t>Acalypha rhomboidea     (Diamond threeseed mercury)</t>
  </si>
  <si>
    <t>Acalypha setosa     (Cuban copperleaf)</t>
  </si>
  <si>
    <t>Acanthocereus tetragonus     (Triangle cactus)</t>
  </si>
  <si>
    <t>Acanthospermum australe     (Paraguay starburr)</t>
  </si>
  <si>
    <t>Acanthospermum hispidum     (Hispid starburr)</t>
  </si>
  <si>
    <t>Acanthospermum humile     (Low starburr)</t>
  </si>
  <si>
    <t>Acer negundo     (Box elder)</t>
  </si>
  <si>
    <t>Acer rubrum     (Red maple)</t>
  </si>
  <si>
    <t>Acer saccharinum     (Silver maple)</t>
  </si>
  <si>
    <t>Acer saccharum      (Florida maple)</t>
  </si>
  <si>
    <t>Achillea millefolium     (Common yarrow)</t>
  </si>
  <si>
    <t>Achyranthes aspera     (Devil's horsewhip)</t>
  </si>
  <si>
    <t>Acicarpha tribuloides     (Madam gorgon )</t>
  </si>
  <si>
    <t>Acisanthera erecta     (Dustseed)</t>
  </si>
  <si>
    <t>Acmella oppositifolia     (Oppositeleaf spotflower)</t>
  </si>
  <si>
    <t>Acmella pilosa     (Hairy spotflower)</t>
  </si>
  <si>
    <t>Acmella pusilla     (Dwarf spotflower)</t>
  </si>
  <si>
    <t>Acoelorraphe wrightii     (Paurotis palm)</t>
  </si>
  <si>
    <t>Acrocomia totai     (Gru-gru palm)</t>
  </si>
  <si>
    <t>Acrostichum danaefolium     (Giant leather fern)</t>
  </si>
  <si>
    <t>Acrosticum aureum     (Golden leather fern)</t>
  </si>
  <si>
    <t>Actaea pachypoda     (White baneberry)</t>
  </si>
  <si>
    <t>Adenanthera pavonina     (Red beadtree)</t>
  </si>
  <si>
    <t>Adiantum anceps     (Double-edge maidenhair)</t>
  </si>
  <si>
    <t>Adiantum capillus-venerus     (Venus'-hair fern)</t>
  </si>
  <si>
    <t>Adiantum caudatum     (Tailed maidenhair)</t>
  </si>
  <si>
    <t>Adiantum melanoleucum     (Fragrant maidenhair)</t>
  </si>
  <si>
    <t>Adiantum tenerum     (Brittle maidenhair)</t>
  </si>
  <si>
    <t>Aeschynomene americana     (Shyleaf)</t>
  </si>
  <si>
    <t>Aeschynomene fluitans     (Giant water sensitive plant)</t>
  </si>
  <si>
    <t>Aeschynomene indica     (India joint-vetch)</t>
  </si>
  <si>
    <t>Aeschynomene pratensis     (Meadow joint-vetch)</t>
  </si>
  <si>
    <t>Aeschynomene rudis      (Zigzag jointvetch)</t>
  </si>
  <si>
    <t>Aeschynomene viscidula     (Sticky jointvetch)</t>
  </si>
  <si>
    <t>Aesculus pavia     (Red buckey)</t>
  </si>
  <si>
    <t>Agalinis aphylla     (Scale-leaf false-foxglove)</t>
  </si>
  <si>
    <t>Agalinis divaricata     (Pineland false foxglove)</t>
  </si>
  <si>
    <t>Agalinis fasciculata     (Beach false foxglove)</t>
  </si>
  <si>
    <t>Agalinis filicaulis     (Jackson false foxglove )</t>
  </si>
  <si>
    <t>Agalinis filifolia     (Seminole false foxglove)</t>
  </si>
  <si>
    <t>Agalinis harperi     (Harper's false foxglove)</t>
  </si>
  <si>
    <t>Agalinis laxa     (Twoline false foxglove)</t>
  </si>
  <si>
    <t>Agalinis linifolia     (Flax-leaf false-foxglove)</t>
  </si>
  <si>
    <t>Agalinis maritima     (Saltmarsh false-foxglove)</t>
  </si>
  <si>
    <t>Agalinis obtusifolia     (Tenlobe false foxglove)</t>
  </si>
  <si>
    <t>Agalinis pinetorum     (False-foxglove)</t>
  </si>
  <si>
    <t>Agalinis plukenetii     (Plukenet's false foxglove)</t>
  </si>
  <si>
    <t>Agalinis purpurea     (Large purple false-foxglove)</t>
  </si>
  <si>
    <t>Agalinis setacea     (Threadleaf false foxglove)</t>
  </si>
  <si>
    <t>Agalinis tenuifolia     (Slenderleaf false foxglove)</t>
  </si>
  <si>
    <t>Agarista populifolia     (Hobble-bush)</t>
  </si>
  <si>
    <t>Agave angustifolia     (Century plant)</t>
  </si>
  <si>
    <t>Agave decipiens     (False sisal)</t>
  </si>
  <si>
    <t>Agave sisalana     (Sisal hemp)</t>
  </si>
  <si>
    <t>Agdestis clematidea     (Rockroot)</t>
  </si>
  <si>
    <t>Ageratina jucunda     (Hammock snakeroot)</t>
  </si>
  <si>
    <t>Ageratum houstonianum     (Bluemink)</t>
  </si>
  <si>
    <t>Agrimonia incisa     (Incised agrimony)</t>
  </si>
  <si>
    <t>Agrostis hyemalis     (Ticklegrass)</t>
  </si>
  <si>
    <t>Agrostis stolonifera     (Redtop)</t>
  </si>
  <si>
    <t>Ailanthus altissima     (Tree-of-heaven)</t>
  </si>
  <si>
    <t>Albizia julibrissin     (Silktree,Mimosa)</t>
  </si>
  <si>
    <t>Albizia lebbeck     (Woman's tongue)</t>
  </si>
  <si>
    <t>Aletria spp.     (Colic-root)</t>
  </si>
  <si>
    <t>Aleurites fordii     (Tungoil tree)</t>
  </si>
  <si>
    <t>Alisma sucodatum     (Subcordate water-plantain)</t>
  </si>
  <si>
    <t>Allamanda cathartica     (Golden trumpet)</t>
  </si>
  <si>
    <t>Allium canadense     (Meadow garlic)</t>
  </si>
  <si>
    <t>Alnus serrulata     (Hazel alder)</t>
  </si>
  <si>
    <t>Alocasia macrorrhizos     (Giant taro)</t>
  </si>
  <si>
    <t>Alocasia odora     (Taro)</t>
  </si>
  <si>
    <t>Aloe vera     (Aloe)</t>
  </si>
  <si>
    <t>Alopcurus carolinianus     (Tufted foxtail)</t>
  </si>
  <si>
    <t>Alpinia zerumbet     (Shellflower)</t>
  </si>
  <si>
    <t>Alstroemeria pulchella     (Parrotlily)</t>
  </si>
  <si>
    <t>Alternanthera ficoidea     (Slender joyweed)</t>
  </si>
  <si>
    <t>Alternanthera flavescens     (Yellow Joyweed)</t>
  </si>
  <si>
    <t>Alternanthera philoxeroides     (Alligator weed)</t>
  </si>
  <si>
    <t>Alternanthera sessilis     (Sessile alligator-weed)</t>
  </si>
  <si>
    <t>Alysiacarpus ovalifolius     (False moneywort)</t>
  </si>
  <si>
    <t>Alysiacarpus vaginalis     (White moneywort)</t>
  </si>
  <si>
    <t>Amaranthus australis       (Southern water hemp)</t>
  </si>
  <si>
    <t>Amaranthus blitum     (Purple amaranth)</t>
  </si>
  <si>
    <t>Amaranthus cannabinus     (Tidemarsh amaranth)</t>
  </si>
  <si>
    <t>Amaranthus floridanus     (Florida amaranth)</t>
  </si>
  <si>
    <t>Amaranthus hybridus     (Slim amaranth, Pigweed)</t>
  </si>
  <si>
    <t>Amaranthus spinosus     (Spiny amaranth)</t>
  </si>
  <si>
    <t>Amaranthus viridis     (Slender amaranth)</t>
  </si>
  <si>
    <t>Ambrosia artemisiifolia     (Ragweed)</t>
  </si>
  <si>
    <t>Ambrosia hispida     (Coastal ragweed)</t>
  </si>
  <si>
    <t>Ammannia spp.     (Toothcup)</t>
  </si>
  <si>
    <t>Amorpha fruticosa     (Indigo-bush)</t>
  </si>
  <si>
    <t>Amorpha herbacea     (Clusterspike false indigo)</t>
  </si>
  <si>
    <t>Ampelopsis arborea     (Pepper vine)</t>
  </si>
  <si>
    <t>Amphicarpum muhlenbergianum     (Blue maidencane)</t>
  </si>
  <si>
    <t>Amsonia ciliata     (Fringed bluestar)</t>
  </si>
  <si>
    <t>Amsonia rigida     (Stiff slimpod)</t>
  </si>
  <si>
    <t>Amsonia tabernaemontana     (Eastern slimpod)</t>
  </si>
  <si>
    <t>Amyris elemifera     (Sea torchwood)</t>
  </si>
  <si>
    <t>Anagalis pumila     (Florida pimpernel)</t>
  </si>
  <si>
    <t>Anagallis arvensis     (Scarlet pimpernel)</t>
  </si>
  <si>
    <t>Anagallis minima     (Chaffweed)</t>
  </si>
  <si>
    <t>Andropogon glomeratus     (Broomsedge)</t>
  </si>
  <si>
    <t>Andropogon sp.     (Bluestem grass)</t>
  </si>
  <si>
    <t>Andropogon virginicus        (Broomsedge)</t>
  </si>
  <si>
    <t>Angelonia gardneri     (Blue wings)</t>
  </si>
  <si>
    <t>Annona glabra     (Pond apple)</t>
  </si>
  <si>
    <t>Anoda cristata     (Crested anoda)</t>
  </si>
  <si>
    <t>Anredera vesicaria     (Texas madeiravine)</t>
  </si>
  <si>
    <t>Anthaenantia rufa     (Purple silky-scale)</t>
  </si>
  <si>
    <t>Anthaenantia villosa     (Green silkyscale)</t>
  </si>
  <si>
    <t>Anthemis cotula     (Stinking Chamomile, Mayweed)</t>
  </si>
  <si>
    <t>Antigonon leptopus     (Coral vine, Queen's jewels)</t>
  </si>
  <si>
    <t>Aphyllon uniflorum     (Oneflowered broomrape)</t>
  </si>
  <si>
    <t>Apios americana     (Groundnut)</t>
  </si>
  <si>
    <t>Apium graveolens     (Wild celery)</t>
  </si>
  <si>
    <t>Apocynum cannabinum     (Indianhemp)</t>
  </si>
  <si>
    <t>Apteria aphylla     (Nodding nixie)</t>
  </si>
  <si>
    <t>Arachis glabrata     (Grassnut)</t>
  </si>
  <si>
    <t>Arachis hypogaea     (Peanut)</t>
  </si>
  <si>
    <t>Aralia spinosa     (Devil's walkingstick)</t>
  </si>
  <si>
    <t>Araujia odorata     (Latexplant)</t>
  </si>
  <si>
    <t>Ardisia spp.     (Marlberry)</t>
  </si>
  <si>
    <t>Arenaria godreyi     (Godfrey's stitchwort)</t>
  </si>
  <si>
    <t>Arenaria lanuginosa     (Spreading sandwort)</t>
  </si>
  <si>
    <t>Arenaria serpyllifolia     (Thymeleaf sandwort)</t>
  </si>
  <si>
    <t>Argemone albiflora     (Bluestem pricklypoppy)</t>
  </si>
  <si>
    <t>Argemone mexicana     (Mexican pricklypoppy)</t>
  </si>
  <si>
    <t>Arisaema spp.     (Jack-in-the-pulpit; green-dragon)</t>
  </si>
  <si>
    <t>Aristida affinis     (Long-leaf three-awn grass)</t>
  </si>
  <si>
    <t>Aristida condensata     (Big threeawn)</t>
  </si>
  <si>
    <t>Aristida dichotoma     (Churchmouse threeawn)</t>
  </si>
  <si>
    <t>Aristida gyrans     (Corkscrew threeawn)</t>
  </si>
  <si>
    <t>Aristida lanosa     (Woolysheath threeawn)</t>
  </si>
  <si>
    <t>Aristida longespica     (Slimspike threeawn)</t>
  </si>
  <si>
    <t>Aristida mohrii     (Mohr's threeawn)</t>
  </si>
  <si>
    <t>Aristida palustris     (Longleaf threeawn)</t>
  </si>
  <si>
    <t>Aristida patula     (Tall threeawn)</t>
  </si>
  <si>
    <t>Aristida purpurascens     (Wand-like three-awn grass)</t>
  </si>
  <si>
    <t>Aristida rhizomophora     (Rhizomatous three-awn grass)</t>
  </si>
  <si>
    <t>Aristida simpliciflora     (Southern threeawn)</t>
  </si>
  <si>
    <t>Aristida spiciformis     (Three-awn bottlebrush)</t>
  </si>
  <si>
    <t>Aristida stricta     (Pineland three-awn grass)</t>
  </si>
  <si>
    <t>Aristolochia elegans     (Elegant dutchman's-pipe)</t>
  </si>
  <si>
    <t>Aristolochia serpentaria     (Viginia snakeroot)</t>
  </si>
  <si>
    <t>Armoracia aquatica     (Lakecress)</t>
  </si>
  <si>
    <t>Arnica acaulis     (Common leopardbane)</t>
  </si>
  <si>
    <t>Arnoglossum diversifolium     (Variable-leaf indian-plantain)</t>
  </si>
  <si>
    <t>Arnoglossum floridanum     (Florida indian plantain)</t>
  </si>
  <si>
    <t>Arnoglossum ovatum     (Egg-leaf indian-plantain)</t>
  </si>
  <si>
    <t>Arnoglossum sulcatum     (Indian-plantain, Georgia)</t>
  </si>
  <si>
    <t>Aronia arbutifolia     (Red chokeberry)</t>
  </si>
  <si>
    <t>Artemisia campestris     (Field wormwood)</t>
  </si>
  <si>
    <t>Artemisia ludoviciana     (White sagebrush)</t>
  </si>
  <si>
    <t>Arundinaria gigantea     (Giant cane)</t>
  </si>
  <si>
    <t>Arundo donax     (Giant reed)</t>
  </si>
  <si>
    <t>Asarum arifolium     (Wild ginger)</t>
  </si>
  <si>
    <t>Asarum virginicum     (Virginia heartleaf)</t>
  </si>
  <si>
    <t>Asclepias amplexicaulis     (Clasping milkweed)</t>
  </si>
  <si>
    <t>Asclepias cinerea     (Carolina milkweed)</t>
  </si>
  <si>
    <t>Asclepias connivens     (Large-flower milkweed)</t>
  </si>
  <si>
    <t>Asclepias curassavica     (Scarlet milkweed)</t>
  </si>
  <si>
    <t>Asclepias curtissii     (Curtiss' milkweed)</t>
  </si>
  <si>
    <t>Asclepias feayi     (Florida milkweed)</t>
  </si>
  <si>
    <t>Asclepias humistrata     (Pinewoods milkweed)</t>
  </si>
  <si>
    <t>Asclepias incarnata     (Swamp milkweed)</t>
  </si>
  <si>
    <t>Asclepias lanceolata     (Fen-flower milkweed)</t>
  </si>
  <si>
    <t>Asclepias longifolia     (Long-leaf milkweed)</t>
  </si>
  <si>
    <t>Asclepias pedicellata     (Savannah milkweed)</t>
  </si>
  <si>
    <t>Asclepias perennis     (Aquatic milkweed)</t>
  </si>
  <si>
    <t>Asclepias rubra     (Red milkweed)</t>
  </si>
  <si>
    <t>Asclepias tomentosa     (Velvetleaf milkweed)</t>
  </si>
  <si>
    <t>Asclepias tuberosa     (Butterflyweed)</t>
  </si>
  <si>
    <t>Asclepias variegata     (Redring milkweed)</t>
  </si>
  <si>
    <t>Asclepias verticillata     (Whorled milkweed)</t>
  </si>
  <si>
    <t>Asclepias viridis     (Green antelopehorn)</t>
  </si>
  <si>
    <t>Asclepias viridula     (Southern milkweed)</t>
  </si>
  <si>
    <t>Asemeia violacea     (Showy milkwort)</t>
  </si>
  <si>
    <t>Asimina angustifolia     (Slimleaf pawpaw)</t>
  </si>
  <si>
    <t>Asimina incana     (Woolly pawpaw)</t>
  </si>
  <si>
    <t>Asimina obovata     (Bigflower pawpaw)</t>
  </si>
  <si>
    <t>Asimina parviflora      (Smallflower pawpaw)</t>
  </si>
  <si>
    <t>Asimina pygmea     (Dward pawpaw)</t>
  </si>
  <si>
    <t>Asimina reticulata     (Netted pawpaw)</t>
  </si>
  <si>
    <t>Asparagus aethiopicus     (Sprenger's asparagus-fern)</t>
  </si>
  <si>
    <t>Asparagus officianalis     (Garden asparagus)</t>
  </si>
  <si>
    <t>Asplenium abscissum     (Cutleaf spleenwort)</t>
  </si>
  <si>
    <t>Asplenium cristatum      (Hemlock spleenwort)</t>
  </si>
  <si>
    <t>Asplenium dentatum     (Toothed spleenwort)</t>
  </si>
  <si>
    <t>Asplenium erosum     (Eared spleenwort)</t>
  </si>
  <si>
    <t>Asplenium heterochroum     (Bicolored spleenwort)</t>
  </si>
  <si>
    <t>Asplenium platyneuron     (Ebony spleenwort)</t>
  </si>
  <si>
    <t>Asplenium pumilum     (Dwarf spleenwort)</t>
  </si>
  <si>
    <t>Asplenium verecundum     (Modest spleenwort)</t>
  </si>
  <si>
    <t>Aster carolinianus     (Climbing aster)</t>
  </si>
  <si>
    <t>Aster chapmanii     (Savannah aster)</t>
  </si>
  <si>
    <t>Aster dumosus     (Bushy aster)</t>
  </si>
  <si>
    <t>Aster elliottii     (Elliot's aster)</t>
  </si>
  <si>
    <t>Aster eryngifolius     (Coyote-thistle aster)</t>
  </si>
  <si>
    <t>Aster lateriflorus     (Calico aster)</t>
  </si>
  <si>
    <t>Aster spinulosus     (Bog aster)</t>
  </si>
  <si>
    <t>Aster subulatus     (Saltmarsh aster)</t>
  </si>
  <si>
    <t>Aster tenuifolius     (Saltmarsh aster)</t>
  </si>
  <si>
    <t>Aster umbellatus     (Flat-top white aster)</t>
  </si>
  <si>
    <t>Aster vimineus     (Small white aster)</t>
  </si>
  <si>
    <t>Astraea lobata      (Lobed croton)</t>
  </si>
  <si>
    <t>Astragalus obcordatus     (Florida milkvetch)</t>
  </si>
  <si>
    <t>Astragalus villosus     (Bearded milkvetch)</t>
  </si>
  <si>
    <t>Asystasia gangetica     (Chinese violet)</t>
  </si>
  <si>
    <t>Atalantia buxifolia     (Chinese boxorange)</t>
  </si>
  <si>
    <t>Athyrium filix-femina     (Subartic lady fern)</t>
  </si>
  <si>
    <t>Atriplex patula     (Halberd-leaf saltbush)</t>
  </si>
  <si>
    <t>Atriplex pentandra     (Crested saltbush)</t>
  </si>
  <si>
    <t>Aureolaria flava     (Smooth yellow false foxglove)</t>
  </si>
  <si>
    <t>Aureolaria pectinata     (Fernleaf yellow false foxglove)</t>
  </si>
  <si>
    <t>Avena fatua     (Common oats)</t>
  </si>
  <si>
    <t>Avicennia germinans     (Black mangrove)</t>
  </si>
  <si>
    <t>Axonopus compressus     (Tropical carpetgrass)</t>
  </si>
  <si>
    <t>Axonopus fissifolius     (Common carpetgrass)</t>
  </si>
  <si>
    <t>Axonopus furcatus     (Carpet grass)</t>
  </si>
  <si>
    <t>Axonopus sp.     (Carpet grass)</t>
  </si>
  <si>
    <t>Azolla caroliniana     (Mosquito Fern)</t>
  </si>
  <si>
    <t>Azolla filiculoides     (American waterfern)</t>
  </si>
  <si>
    <t>Azolla pinnata     (Feathered mosquitofern)</t>
  </si>
  <si>
    <t>Baccharis angustifolia     (False willow)</t>
  </si>
  <si>
    <t>Baccharis dioica     (Broom-bush false-willow)</t>
  </si>
  <si>
    <t>Baccharis glomeruliflora     (Silverling)</t>
  </si>
  <si>
    <t>Baccharis halimifolia     (Salt myrtle)</t>
  </si>
  <si>
    <t>Bacopa caroliniana     (Carolina water-hyssop)</t>
  </si>
  <si>
    <t>Bacopa innominata     (Tropical waterhyssop)</t>
  </si>
  <si>
    <t>Bacopa monnieri     (Herb-of-grace)</t>
  </si>
  <si>
    <t>Balduina angustifolia     (Coastalplain honeycombhead)</t>
  </si>
  <si>
    <t>Balduina atropurpurea     (Purple honeycomb-head)</t>
  </si>
  <si>
    <t>Balduina uniflora     (One-flower honeycomb-head)</t>
  </si>
  <si>
    <t>Bambusa multiplex     (Hedge bamboo)</t>
  </si>
  <si>
    <t>Baptisia alba     (White wild indigo)</t>
  </si>
  <si>
    <t>Baptisia lanceolata     (Gopherweed)</t>
  </si>
  <si>
    <t>Baptisia lecontei     (Pineland wild indigo)</t>
  </si>
  <si>
    <t>Baptisia perfoliata     (Catbells)</t>
  </si>
  <si>
    <t>Barleria cristata     (Crested philippine violet)</t>
  </si>
  <si>
    <t>Barleria repens     (Coral creeper)</t>
  </si>
  <si>
    <t>Bartonia spp.     (Screwstern)</t>
  </si>
  <si>
    <t>Batis maritime     (Saltwort)</t>
  </si>
  <si>
    <t>Bauhinia variegata     (Orchid tree)</t>
  </si>
  <si>
    <t>Begonia cucullata     (Wax begonia)</t>
  </si>
  <si>
    <t>Bejaria racemosa     (Tarflower)</t>
  </si>
  <si>
    <t>Berchemia scandens     (Alabama supplejack)</t>
  </si>
  <si>
    <t>Berlandiera subacaulis     (Florida greeneyes)</t>
  </si>
  <si>
    <t>Betula nigra     (River birch)</t>
  </si>
  <si>
    <t>Bidens alba     (Beggarticks)</t>
  </si>
  <si>
    <t>Bidens bipinnata     (Spanish needles)</t>
  </si>
  <si>
    <t>Bidens discoidea      (Small beggarticks)</t>
  </si>
  <si>
    <t>Bidens frondosa     (Devil's beggarticks)</t>
  </si>
  <si>
    <t>Bidens laevis     (Smooth beggarticks)</t>
  </si>
  <si>
    <t>Bidens mitis     (Beggar-ticks)</t>
  </si>
  <si>
    <t>Bidens pilosa     (Beggar-ticks)</t>
  </si>
  <si>
    <t>Bidens trichosperma     (Crowned beggarticks)</t>
  </si>
  <si>
    <t>Bigelowia nudata     (Rayless golden-rod)</t>
  </si>
  <si>
    <t>Bignonia capreolata     (Crossvine)</t>
  </si>
  <si>
    <t>Bischofia javanica     (Javanese bishopwood)</t>
  </si>
  <si>
    <t>Blechnum serrulatum     (Swamp fern)</t>
  </si>
  <si>
    <t>Bletia purpurea     (Pinepink)</t>
  </si>
  <si>
    <t>Blutaparon vermiculare     (Samphire)</t>
  </si>
  <si>
    <t>Boehmeria cylindrica     (False nettle)</t>
  </si>
  <si>
    <t>Boerhavia diffusa     (Red spiderling)</t>
  </si>
  <si>
    <t>Boerhavia erecta     (Erect spiderling)</t>
  </si>
  <si>
    <t>Bolboschoenus robustus     (Saltmarsh bullrush)</t>
  </si>
  <si>
    <t>Boltonia spp.     (Boltonia)</t>
  </si>
  <si>
    <t>Bonamia grandiflora     (Florida lady's nightcap)</t>
  </si>
  <si>
    <t>Bonnaya ciliata     (Fringed false pimpernel)</t>
  </si>
  <si>
    <t>Borrichia spp.     (Sea oxeye)</t>
  </si>
  <si>
    <t>Bothriochloa bladhii     (Australian beardgrass)</t>
  </si>
  <si>
    <t>Bothriochloa ischaemum     (King ranch bluestem)</t>
  </si>
  <si>
    <t>Bothriochloa pertusa     (Pitted beardgrass)</t>
  </si>
  <si>
    <t>Botrychium biternatum     (Southern grape-fern)</t>
  </si>
  <si>
    <t>Botrychium virginianum     (Rattlesnake fern)</t>
  </si>
  <si>
    <t>Bowlesia incana     (Hoary bowlesia)</t>
  </si>
  <si>
    <t>Brachiaria purpurascens     (Paragrass)</t>
  </si>
  <si>
    <t>Brasenia schreberi     (Watershield)</t>
  </si>
  <si>
    <t>Brassica juncea     (India mustard)</t>
  </si>
  <si>
    <t>Brassica rapa     (Rape)</t>
  </si>
  <si>
    <t>Brickellia eupatorioides     (False boneset)</t>
  </si>
  <si>
    <t>Briza minor     (Little quakinggrass)</t>
  </si>
  <si>
    <t>Bromelia pinguin     (Pinguin)</t>
  </si>
  <si>
    <t>Bromus catharticus     (Rescuegrass)</t>
  </si>
  <si>
    <t>Bromus japonicus     (Japanese brome)</t>
  </si>
  <si>
    <t>Bromus secalinus     (Rye brome)</t>
  </si>
  <si>
    <t>Broussonetia papyrifera     (Paper mulberry)</t>
  </si>
  <si>
    <t>Buchnera americana     (American bluehearts)</t>
  </si>
  <si>
    <t>Bucida bucerae     (Gregory wood)</t>
  </si>
  <si>
    <t>Buddleja madagascariensis     (Madagascar butterflybush)</t>
  </si>
  <si>
    <t>Buglossoides arvensis     (Corn gromwell)</t>
  </si>
  <si>
    <t>Bulbostylis barbata     (Watergrass)</t>
  </si>
  <si>
    <t>Bulbostylis ciliatifolia     (Capillary hairsedge)</t>
  </si>
  <si>
    <t>Bulbostylis stenophylla     (Sandyfield hairsedge)</t>
  </si>
  <si>
    <t>Bulbostylis warei     (Ware's hairsedge)</t>
  </si>
  <si>
    <t>Bumelia celastrina     (Coastal bumelia)</t>
  </si>
  <si>
    <t>Bumelia lycioides     (Buckhorn bumelia)</t>
  </si>
  <si>
    <t>Bumelia reclinata     (Bumelia)</t>
  </si>
  <si>
    <t>Bupleurum lancifolium     (Hare's-ear)</t>
  </si>
  <si>
    <t>Burmannia biflora     (Bluethread)</t>
  </si>
  <si>
    <t>Burmannia capitata     (Southern bluethread)</t>
  </si>
  <si>
    <t>Burmannia spp.     (Burmannia)</t>
  </si>
  <si>
    <t>Bursera simaruba     (Gumbo limbo)</t>
  </si>
  <si>
    <t>Cabomba caroliniana     (Carolina fanwort)</t>
  </si>
  <si>
    <t>Cabomba palaeformis     (Fishgrass)</t>
  </si>
  <si>
    <t>Cacalia suaveolens     (Sweet-scent indian-plantain)</t>
  </si>
  <si>
    <t>Caesalpinia crista     (Yellow nicker)</t>
  </si>
  <si>
    <t>Cakile edentula     (American searocket)</t>
  </si>
  <si>
    <t>Cakile lanceolata     (Coastal searocket)</t>
  </si>
  <si>
    <t>Calamintha ashei     (Ashe's calamint)</t>
  </si>
  <si>
    <t>Calamintha coccinea     (Scarlet calamint)</t>
  </si>
  <si>
    <t>Calamovilfa curtiseii     (Curtiss' reed grass)</t>
  </si>
  <si>
    <t>Calliandra haematocephala     (Powderpuff tree)</t>
  </si>
  <si>
    <t>Callicarpa americana     (Beautyberry)</t>
  </si>
  <si>
    <t>Callirhoe involucrata     (Purple poppymallow)</t>
  </si>
  <si>
    <t>Callisia cordifolia     (Florida roseling)</t>
  </si>
  <si>
    <t>Callisia fragrans     (Basketplant)</t>
  </si>
  <si>
    <t>Callisia graminea     (Grassleaf roseling)</t>
  </si>
  <si>
    <t>Callisia ornata     (Florida scrub roseling)</t>
  </si>
  <si>
    <t>Callisia repens     (Creeping inchplant)</t>
  </si>
  <si>
    <t>Callitriche heterophylla     (Larger waterstarwort)</t>
  </si>
  <si>
    <t>Callitriche pedunculosa     (Nuttall's waterstarwort)</t>
  </si>
  <si>
    <t>Callitriche peploides     (Matted waterstarwort)</t>
  </si>
  <si>
    <t>Callitriche spp.     (Water saltwort)</t>
  </si>
  <si>
    <t>Callitris glaucophylla     (White cypress-pine)</t>
  </si>
  <si>
    <t>Calopogon barbatus     (Bearded grasspink)</t>
  </si>
  <si>
    <t>Calopogon multiflorus     (Manyflowered grasspink)</t>
  </si>
  <si>
    <t>Calopogon pallidus     (Pale grasspink)</t>
  </si>
  <si>
    <t>Calopogon spp.     (Grass pinks)</t>
  </si>
  <si>
    <t>Calopogon tuberosus     (Tuberous grasspink)</t>
  </si>
  <si>
    <t>Calotropis procera     (Roostertree)</t>
  </si>
  <si>
    <t>Calycocarpum lyonii     (Cupseed)</t>
  </si>
  <si>
    <t>Calydorea caelestina     (Bartram's ixia)</t>
  </si>
  <si>
    <t>Calyptocarpus vialis     (Straggler daisy)</t>
  </si>
  <si>
    <t>Calystegia sepium     (Hedge false bindweed)</t>
  </si>
  <si>
    <t>Campanula americana     (American bellflower)</t>
  </si>
  <si>
    <t>Campanula floridana     (Bellflower)</t>
  </si>
  <si>
    <t>Campsis radicans     (Trumpet creeper)</t>
  </si>
  <si>
    <t>Campyloneurum angustifolium     (Narrow strap fern)</t>
  </si>
  <si>
    <t>Campyloneurum phyllitidis     (Long strap fern)</t>
  </si>
  <si>
    <t>Canabis sativa     (Marijuana)</t>
  </si>
  <si>
    <t>Canavalia rosea     (Baybean)</t>
  </si>
  <si>
    <t>Canna flaccida     (Bandanna-of-the-everglades)</t>
  </si>
  <si>
    <t>Canna generalis     (Garden canna)</t>
  </si>
  <si>
    <t>Canna indica     (Indian shot)</t>
  </si>
  <si>
    <t>Canna spp.     (Canna)</t>
  </si>
  <si>
    <t>Cantinoa americana     (Marubio)</t>
  </si>
  <si>
    <t>Cantinoa mutabilis     (Tropical bushmint)</t>
  </si>
  <si>
    <t>Caperonia castaneifolia     (Chestnutleaf falsecroton)</t>
  </si>
  <si>
    <t>Caperonia palustris     (Sacatrapo)</t>
  </si>
  <si>
    <t>Caperonia spp.     (Caperonia)</t>
  </si>
  <si>
    <t>Capparis flexuosa     (Caper-tree)</t>
  </si>
  <si>
    <t>Capsella bursa-pastoris     (Shepherd's purse)</t>
  </si>
  <si>
    <t>Capsicum annuum     (Bird pepper)</t>
  </si>
  <si>
    <t>Capsicum frutescens     (Tabasco pepper)</t>
  </si>
  <si>
    <t>Cardamine bulbosa     (Bitter-cress)</t>
  </si>
  <si>
    <t>Cardamine hirsuta     (Hairy bittercress)</t>
  </si>
  <si>
    <t>Cardamine pensylvanica     (Spring-cress)</t>
  </si>
  <si>
    <t>Cardiospermum halicacabum     (Love-in-a-puff)</t>
  </si>
  <si>
    <t>Cardiospermum microcarpum     (Heartseed)</t>
  </si>
  <si>
    <t>Carex alata     (Broadwing sedge)</t>
  </si>
  <si>
    <t>Carex albolutescens     (Green-white sedge)</t>
  </si>
  <si>
    <t>Carex atlantica     (Prickly bog sedge)</t>
  </si>
  <si>
    <t>Carex blanda     (Eastern woodland sedge)</t>
  </si>
  <si>
    <t>Carex bromoides     (Bromelike sedge)</t>
  </si>
  <si>
    <t>Carex chapmannii     (Chapman's sedge)</t>
  </si>
  <si>
    <t>Carex cherokeensis     (Cherokee sedge)</t>
  </si>
  <si>
    <t>Carex comosa     (Bristly sedge)</t>
  </si>
  <si>
    <t>Carex complanata     (Blue sedge)</t>
  </si>
  <si>
    <t>Carex crebriflora     (Coastalplain sedge)</t>
  </si>
  <si>
    <t>Carex crinita     (Fringed sedge)</t>
  </si>
  <si>
    <t>Carex crus-corvi     (Raven-foot sedge)</t>
  </si>
  <si>
    <t>Carex dasycarpa     (Sandywoods sedge)</t>
  </si>
  <si>
    <t>Carex debilis     (White-edge sedge)</t>
  </si>
  <si>
    <t>Carex decomposita     (Cypress-knee sedge)</t>
  </si>
  <si>
    <t>Carex digitalis     (Slender woodland sedge)</t>
  </si>
  <si>
    <t>Carex elliotii     (Elliot's sedge)</t>
  </si>
  <si>
    <t>Carex fissa     (Hammock sedge)</t>
  </si>
  <si>
    <t>Carex folliculata     (Long sedge)</t>
  </si>
  <si>
    <t>Carex frankii     (Frank's sedge)</t>
  </si>
  <si>
    <t>Carex gholsonii     (Gholson's sedge)</t>
  </si>
  <si>
    <t>Carex gigantea     (Large sedge)</t>
  </si>
  <si>
    <t>Carex glaucescens     (Clustered sedge)</t>
  </si>
  <si>
    <t>Carex godfreyi     (Godfrey's sedge)</t>
  </si>
  <si>
    <t>Carex howei     (Howe's sedge)</t>
  </si>
  <si>
    <t>Carex hyalinolepis     (Shoreline sedge)</t>
  </si>
  <si>
    <t>Carex intumescens     (Greater bladder sedge)</t>
  </si>
  <si>
    <t>Carex joorii     (Cypress swamp sedge)</t>
  </si>
  <si>
    <t>Carex leptalea     (Bristly-stalk sedge)</t>
  </si>
  <si>
    <t>Carex longii     (Long's sedge)</t>
  </si>
  <si>
    <t>Carex louisianica     (Louisiana sedge)</t>
  </si>
  <si>
    <t>Carex lupuliformis     (False hop sedge)</t>
  </si>
  <si>
    <t>Carex lupulina     (Hop sedge)</t>
  </si>
  <si>
    <t>Carex lurida     (Shallow sedge)</t>
  </si>
  <si>
    <t>Carex nigromarginata     (Blackedge sedge)</t>
  </si>
  <si>
    <t>Carex oxylepis     (Sharpscale sedge)</t>
  </si>
  <si>
    <t>Carex paeninsulae     (Peninsula sedge)</t>
  </si>
  <si>
    <t>Carex retroflexa     (Reflexed sedge)</t>
  </si>
  <si>
    <t>Carex spp.     (Sedge)</t>
  </si>
  <si>
    <t>Carex stipata     (Stalk-grain sedge)</t>
  </si>
  <si>
    <t>Carex striata     (Walter's sedge)</t>
  </si>
  <si>
    <t>Carex styloflexa     (Bent sedge)</t>
  </si>
  <si>
    <t>Carex tribuloides     (Blunt broom sedge)</t>
  </si>
  <si>
    <t>Carex verrucosa     (Warty sedge)</t>
  </si>
  <si>
    <t>Carex vexans     (Florida hammock sedge)</t>
  </si>
  <si>
    <t>Carex walteriana     (Walter's sedge)</t>
  </si>
  <si>
    <t>Carica papaya     (Papaya)</t>
  </si>
  <si>
    <t>Carissa macrocarpa     (Natal plum)</t>
  </si>
  <si>
    <t>Carphephorus carnosus     (Carphephorus)</t>
  </si>
  <si>
    <t>Carphephorus corymbosus     (Chaffhead)</t>
  </si>
  <si>
    <t>Carphephorus odoratissimus     (Vanilla plant)</t>
  </si>
  <si>
    <t>Carphephorus paniculatus     (Deer-tongue)</t>
  </si>
  <si>
    <t>Carphephorus pseudoliatris     (Bristle-leaf chaffhead)</t>
  </si>
  <si>
    <t>Carpinus caroliniana     (American hornbeam)</t>
  </si>
  <si>
    <t>Carpobrotus edulis     (Common hottentot fig)</t>
  </si>
  <si>
    <t>Cartrema americanum     (Wild olive)</t>
  </si>
  <si>
    <t>Cartrema floridanum     (Scrub wild olive)</t>
  </si>
  <si>
    <t>Carya aquatica     (Water hickory)</t>
  </si>
  <si>
    <t>Carya floridana      (Scrub hickory)</t>
  </si>
  <si>
    <t>Carya glabra     (Pignut hickory)</t>
  </si>
  <si>
    <t>Carya illinoinensis     (Pecan)</t>
  </si>
  <si>
    <t>Carya tomentosa     (Mockernut hickory)</t>
  </si>
  <si>
    <t>Cassytha filiformis     (Love vine, Devil's gut)</t>
  </si>
  <si>
    <t>Castanea crenata     (Japanese chestnut)</t>
  </si>
  <si>
    <t>Castanea pumila     (Chinquapin)</t>
  </si>
  <si>
    <t>Castilleja indivisa      (Entireleaf indian paintbrush)</t>
  </si>
  <si>
    <t>Casuarina cunninghamiana     (River sheoak)</t>
  </si>
  <si>
    <t>Casuarina equisetifolia     (Australian pine)</t>
  </si>
  <si>
    <t>Casuarina glauca     (Gray sheoak)</t>
  </si>
  <si>
    <t>Catalpa bignonioides     (Southern catalpa)</t>
  </si>
  <si>
    <t>Catharanthus roseus     (Madagascar periwinkle)</t>
  </si>
  <si>
    <t>Cayaponia quiqueloba     (Five-lobe cayaponia)</t>
  </si>
  <si>
    <t>Ceanothus americanus     (New jersey tea)</t>
  </si>
  <si>
    <t>Ceanothus microphyllus     (Littleleaf buckrush)</t>
  </si>
  <si>
    <t>Celosia trigyna     (Woolflower)</t>
  </si>
  <si>
    <t>Celtis laevigata     (Hackberry)</t>
  </si>
  <si>
    <t>Celtis occidentalis     (Hackberry)</t>
  </si>
  <si>
    <t>Cenchrus ciliaris     (Bufflegrass)</t>
  </si>
  <si>
    <t>Cenchrus echinatus     (Southern sandbur)</t>
  </si>
  <si>
    <t>Cenchrus gracillimus     (Slender sandbur)</t>
  </si>
  <si>
    <t>Cenchrus spinifex     (Coastal sandbur)</t>
  </si>
  <si>
    <t>Centatherum punctatum     (Larkdaisy)</t>
  </si>
  <si>
    <t>Centaurea cyanus     (Garden cornflower)</t>
  </si>
  <si>
    <t>Centella asiatica     (Coinwort)</t>
  </si>
  <si>
    <t>Centrosema arenicola     (Pineland butterfly pea)</t>
  </si>
  <si>
    <t>Centrosema virginianum     (Spurred butterfly pea)</t>
  </si>
  <si>
    <t>Cephalanthus occidentalis     (Buttonbush)</t>
  </si>
  <si>
    <t>Cerastium glomeratum     (Mouse-ear chickweed)</t>
  </si>
  <si>
    <t>Cerathotheca triloba     (White foxglove)</t>
  </si>
  <si>
    <t>Ceratiola ericoides     (Florida rosemary)</t>
  </si>
  <si>
    <t>Ceratophyllum demersum     (Coontail)</t>
  </si>
  <si>
    <t>Ceratophyllum echinatum     (Spiny hornwort)</t>
  </si>
  <si>
    <t>Ceratopteris pteridoides     (Water horn fern)</t>
  </si>
  <si>
    <t>Ceratopteris thalictoides     (Watersprite)</t>
  </si>
  <si>
    <t>Cercis canadensis     (Eastern redbud)</t>
  </si>
  <si>
    <t>Cestrum diurnum     (Day jessamine)</t>
  </si>
  <si>
    <t>Cestrum nocturnum     (Nightflowering jessamine)</t>
  </si>
  <si>
    <t>Chaerophyllum tainturieri     (Hairyfruit chervil)</t>
  </si>
  <si>
    <t>Chamaecrista fasciculata     (Partridge pea)</t>
  </si>
  <si>
    <t>Chamaecrista nictitans     (Sensitive pea)</t>
  </si>
  <si>
    <t>Chamaecrista pilosa     (Hairy sensitive pea)</t>
  </si>
  <si>
    <t>Chamaecrista rotundifolia     (Roundleaf sensitive pea)</t>
  </si>
  <si>
    <t>Chamaecrista serpens     (Slender sensitive pea)</t>
  </si>
  <si>
    <t>Chamaecyparis thyoides     (Altlantic white cedar)</t>
  </si>
  <si>
    <t>Chamaelirium luteum     (Fairywand)</t>
  </si>
  <si>
    <t>Chamaesyce blodgettii     (Limestone sandmat)</t>
  </si>
  <si>
    <t>Chamaesyce bombensis     (Dixie sandmat)</t>
  </si>
  <si>
    <t>Chamaesyce cordifolia     (Heartleaf sandmat)</t>
  </si>
  <si>
    <t>Chamaesyce cumulicola     (Coastal dune sandmat)</t>
  </si>
  <si>
    <t>Chamaesyce hirta     (Pillpod sandmat)</t>
  </si>
  <si>
    <t>Chamaesyce humistrata     (Spreading sandmat)</t>
  </si>
  <si>
    <t>Chamaesyce hypericifolia     (Graceful sandmat)</t>
  </si>
  <si>
    <t>Chamaesyce hyssopifolia     (Hyssopleaf sandmat)</t>
  </si>
  <si>
    <t>Chamaesyce lasiocarpa     (Roadside sandmat)</t>
  </si>
  <si>
    <t>Chamaesyce maculata     (Spotted sandmat)</t>
  </si>
  <si>
    <t>Chamaesyce mendezii     (Mendez's sandmat)</t>
  </si>
  <si>
    <t>Chamaesyce mesembrianthemifolia     (Coastal beach sandmat)</t>
  </si>
  <si>
    <t>Chamaesyce ophthalmica     (Florida hammock sandmat)</t>
  </si>
  <si>
    <t>Chamaesyce polygonifolia     (Seaside sandmat)</t>
  </si>
  <si>
    <t>Chamaesyce prostrata     (Prostate sandmat)</t>
  </si>
  <si>
    <t>Chamaesyce serpens     (Matted sandmat)</t>
  </si>
  <si>
    <t>Chamaesyce serpillifolia     (Thymeleaf sandmat)</t>
  </si>
  <si>
    <t>Chamaesyce thymifolia     (Gulf sandmat)</t>
  </si>
  <si>
    <t>Chapmannia floridana     (Florida alicia)</t>
  </si>
  <si>
    <t>Chaptalia tomentosa     (Sunbonnet, Pineland daisy)</t>
  </si>
  <si>
    <t>Chasmanthium latifolium     (Spanglegrass)</t>
  </si>
  <si>
    <t>Chasmanthium laxum     (Slender woodoats)</t>
  </si>
  <si>
    <t>Chasmanthium nitidum     (Shiny woodoats )</t>
  </si>
  <si>
    <t>Chasmanthium ornithorhynchum     (Birdbill woodoats)</t>
  </si>
  <si>
    <t>Chasmanthium sassiliflorum     (Long-leaf chasmanthium)</t>
  </si>
  <si>
    <t>Chasmanthium spp.     (Spanglegrass)</t>
  </si>
  <si>
    <t>Chenopodiastrum murale     (Nettleleaf goosefoot)</t>
  </si>
  <si>
    <t>Chenopodium album     (Lamb's-quarters)</t>
  </si>
  <si>
    <t>Chenopodium berlandieri     (Pitseed goosefoot)</t>
  </si>
  <si>
    <t>Chiococca spp.     (Snowberry)</t>
  </si>
  <si>
    <t>Chionanthus pygmaeus     (Pigmy fringetree)</t>
  </si>
  <si>
    <t>Chionanthus virginicus     (White fringetree)</t>
  </si>
  <si>
    <t>Chloris gayana     (Rhodesgrass)</t>
  </si>
  <si>
    <t>Chlorophytum comosum     (Spider plant)</t>
  </si>
  <si>
    <t>Chromolaena ivifolia     (Ivyleaf throughwort)</t>
  </si>
  <si>
    <t>Chromolaena odorata     (Jack-in-the-bush)</t>
  </si>
  <si>
    <t>Chrysobalanus icaco     (Cocoplum)</t>
  </si>
  <si>
    <t>Chrysoma pauciflosculosa     (Bush goldenrod)</t>
  </si>
  <si>
    <t>Chrysophyllum oliviforme     (Satinleaf)</t>
  </si>
  <si>
    <t>Chrysopogon pauciflorus     (Florida false beardgrass)</t>
  </si>
  <si>
    <t>Chrysopsis delaneyi     (Delaney's goldenaster)</t>
  </si>
  <si>
    <t>Chrysopsis floridana     (Florida goldenaster)</t>
  </si>
  <si>
    <t>Chrysopsis gossypina     (Cottony goldenaster)</t>
  </si>
  <si>
    <t>Chrysopsis highlandsensis     (Highlands goldenaster)</t>
  </si>
  <si>
    <t>Chrysopsis latisquamea     (Pineland goldenaster)</t>
  </si>
  <si>
    <t>Chrysopsis linearifolia     (Dress' goldenaster)</t>
  </si>
  <si>
    <t>Chrysopsis mariana     (Maryland goldenaster )</t>
  </si>
  <si>
    <t>Chrysopsis scabrella     (Coastalplain goldenaster)</t>
  </si>
  <si>
    <t>Chrysopsis subulata     (Scrubland goldenaster)</t>
  </si>
  <si>
    <t>Cichorium intybus     (Chicory)</t>
  </si>
  <si>
    <t>Cicuta spp.     (Water hemlock)</t>
  </si>
  <si>
    <t>Cinnamomum camphora      (Camphor tree)</t>
  </si>
  <si>
    <t>Cinnamomum camphora     (Camphortree)</t>
  </si>
  <si>
    <t>Cirsium horridulum     (Purple thistle)</t>
  </si>
  <si>
    <t>Cirsium lecontei     (Leconte's thistle)</t>
  </si>
  <si>
    <t>Cirsium muticum     (Swamp thistle)</t>
  </si>
  <si>
    <t>Cirsium nuttallii     (Nuttall's thistle)</t>
  </si>
  <si>
    <t>Cirsium virginianum     (Virginia thistle)</t>
  </si>
  <si>
    <t>Cissus trifoliata     (Sorrelvine)</t>
  </si>
  <si>
    <t>Cissus verticillata     (Seasonvine)</t>
  </si>
  <si>
    <t>Citharexylum spinosum     (Florida fiddlewood)</t>
  </si>
  <si>
    <t>Citrullus lanatus     (Watermelon, Citron)</t>
  </si>
  <si>
    <t>Citrus reticulata     (Tangerine)</t>
  </si>
  <si>
    <t>Citrus x aurantium     (Sour orange)</t>
  </si>
  <si>
    <t>Citrus x limon     (Lemon)</t>
  </si>
  <si>
    <t>Citrus x microcarpa     (Calamondin)</t>
  </si>
  <si>
    <t>Cladium jamaicense     (Sawgrass)</t>
  </si>
  <si>
    <t>Cladium mariscoides     (Swamp sawgrass)</t>
  </si>
  <si>
    <t>Cleistes divaricata     (Rosebud)</t>
  </si>
  <si>
    <t>Cleistesiopsis oricamporum     (Fragrant pogonia)</t>
  </si>
  <si>
    <t>Clematis baldwinii     (Pine-hyacinth)</t>
  </si>
  <si>
    <t>Clematis catesbyana     (Satincurls)</t>
  </si>
  <si>
    <t>Clematis crispa     (Swamp leather-flower)</t>
  </si>
  <si>
    <t>Clematis glaucophylla     (Whiteleaf leather-flower)</t>
  </si>
  <si>
    <t>Clematis reticulata     (Netleaf leather-flower)</t>
  </si>
  <si>
    <t>Clematis terniflora     (Sweet autumn virginsbower)</t>
  </si>
  <si>
    <t>Clematis virginiana     (Virginsbower)</t>
  </si>
  <si>
    <t>Cleome rutidosperma     (Finged spiderflower)</t>
  </si>
  <si>
    <t>Clerodendrum bungei     (Rose glorybower)</t>
  </si>
  <si>
    <t>Clerodendrum chinense     (Stickbush)</t>
  </si>
  <si>
    <t>Clerodendrum indicum     (Turk's turban)</t>
  </si>
  <si>
    <t>Clerodendrum japonicum     (Japanese glorybower)</t>
  </si>
  <si>
    <t>Clerodendrum speciosissimum     (Javanese glorybower)</t>
  </si>
  <si>
    <t>Clerodendrum x speciosum     (Java glory bean)</t>
  </si>
  <si>
    <t>Clethra ainifolia     (Sweet pepper bush)</t>
  </si>
  <si>
    <t>Cliftonia monophylia     (Buckwheat-tree)</t>
  </si>
  <si>
    <t>Clinopodium brownei     (Browne's savory)</t>
  </si>
  <si>
    <t>Clinopodium vulgare     (Wild basil)</t>
  </si>
  <si>
    <t>Clitoria fragrans     (Sweetscented pigeonwings)</t>
  </si>
  <si>
    <t>Clitoria mariana     (Atlantic pigeonwings)</t>
  </si>
  <si>
    <t>Clusia rosea     (Pitchapple)</t>
  </si>
  <si>
    <t>Cnidoscolus stimulosus     (Tread-softly)</t>
  </si>
  <si>
    <t>Coccinia grandis     (Ivy gourd)</t>
  </si>
  <si>
    <t>Coccoloba diversifolia     (Tietongue, Pigeon Plum)</t>
  </si>
  <si>
    <t>Coccoloba uvifera     (Seagrape)</t>
  </si>
  <si>
    <t>Coccothrinax agentata     (Florida silver palm)</t>
  </si>
  <si>
    <t>Cocculus carolinus     (Carolina coralbead)</t>
  </si>
  <si>
    <t>Coelorachis cylindrica     (Carolina jointtailgrass)</t>
  </si>
  <si>
    <t>Coelorachis rugosa     (Wrinkled jointtailgrass)</t>
  </si>
  <si>
    <t>Coelorachis tessellata     (Lattice jointtailgrass)</t>
  </si>
  <si>
    <t>Coelorachis tuberculosa     (Florida jointtailgrass)</t>
  </si>
  <si>
    <t>Coleataenia abscissa     (Cutthroatgrass)</t>
  </si>
  <si>
    <t>Coleataenia anceps     (Beaked panicum)</t>
  </si>
  <si>
    <t>Coleataenia longifolia     (Ciliate redtop panicum)</t>
  </si>
  <si>
    <t>Coleataenia rigidula     (Redtop panicum)</t>
  </si>
  <si>
    <t>Coleataenia tenera     (Bluejoint panicum)</t>
  </si>
  <si>
    <t>Collinsonia canadensis     (Richweed)</t>
  </si>
  <si>
    <t>Collinsonia serotina     (Blueridge horsebalm)</t>
  </si>
  <si>
    <t>Colocasia esculenta     (Wild taro)</t>
  </si>
  <si>
    <t>Colubrina asiatica     (Asian snakewood)</t>
  </si>
  <si>
    <t>Combretum indicum     (Rangoon creeper)</t>
  </si>
  <si>
    <t>Commelina benghalensis     (Jio)</t>
  </si>
  <si>
    <t>Commelina caroliniana     (Carolina dayflower)</t>
  </si>
  <si>
    <t>Commelina communis     (Asiatic dayflower)</t>
  </si>
  <si>
    <t>Commelina diffusa     (Common dayflower)</t>
  </si>
  <si>
    <t>Commelina erecta     (Sandhill dayflower)</t>
  </si>
  <si>
    <t>Commelina gambiae     (Gambian dayflower)</t>
  </si>
  <si>
    <t>Commelina spp.     (Dayflower)</t>
  </si>
  <si>
    <t>Commelina virginica     (Virgina dayflower)</t>
  </si>
  <si>
    <t>Condea verticillata     (John Charles)</t>
  </si>
  <si>
    <t>Conocarpus erectus     (Buttonwood)</t>
  </si>
  <si>
    <t>Conoclinum coelestinum     (Mistflower)</t>
  </si>
  <si>
    <t>Conopholis americana     (American Squawroot)</t>
  </si>
  <si>
    <t>Conradina canescens     (False rosemary)</t>
  </si>
  <si>
    <t>Conradina etonia     (Etonia false rosemary)</t>
  </si>
  <si>
    <t>Conradina grandiflora     (Largeflower false rosemary)</t>
  </si>
  <si>
    <t>Conyza bonariensis     (Asthmaweed)</t>
  </si>
  <si>
    <t>Conyza canadensis     (Dwarf horseweed)</t>
  </si>
  <si>
    <t>Corallorhiza wisteriana     (Spring coralroot)</t>
  </si>
  <si>
    <t>Corchorus aestuans     (Jute)</t>
  </si>
  <si>
    <t>Corchorus hirsutus     (Jackswitch)</t>
  </si>
  <si>
    <t>Coreopsis basalis     (Goldenmane tickseed)</t>
  </si>
  <si>
    <t>Coreopsis falcate     (Sickle tickseed)</t>
  </si>
  <si>
    <t>Coreopsis floridana     (Florida tickseed)</t>
  </si>
  <si>
    <t>Coreopsis gladiata     (Southeastern tickseed)</t>
  </si>
  <si>
    <t>Coreopsis grandiflora     (Largeflower tickseed)</t>
  </si>
  <si>
    <t>Coreopsis integrifolia     (Ciliate-leaf tickseed)</t>
  </si>
  <si>
    <t>Coreopsis lanceolata     (Lanceleaf tickseed)</t>
  </si>
  <si>
    <t>Coreopsis leavenworthii     (Leavenworth's tickseed)</t>
  </si>
  <si>
    <t>Coreopsis linifolia     (Texas tickseed )</t>
  </si>
  <si>
    <t>Coreopsis major     (Greater tickseed)</t>
  </si>
  <si>
    <t>Coreopsis nudata     (Georgia tickseed)</t>
  </si>
  <si>
    <t>Coreopsis pubescens     (Star tickseed)</t>
  </si>
  <si>
    <t>Coreopsis tinctoria     (Golden tickseed)</t>
  </si>
  <si>
    <t>Coreopsis tripteris     (Tall tickseed)</t>
  </si>
  <si>
    <t>Coriandrum sativum     (Coriander)</t>
  </si>
  <si>
    <t>Cornus amomum     (Silky dogwood)</t>
  </si>
  <si>
    <t>Cornus asperifolia     (Roughleaf dogwood)</t>
  </si>
  <si>
    <t>Cornus florida     (Flowering dogwood)</t>
  </si>
  <si>
    <t>Cornus foemina     (Swamp dogwood)</t>
  </si>
  <si>
    <t>Cortaderia selloana     (Pampasgrass)</t>
  </si>
  <si>
    <t>Corydalis micrantha     (Smallflower fumewort)</t>
  </si>
  <si>
    <t>Corynandra viscosa     (Asian spiderflower)</t>
  </si>
  <si>
    <t>Cosmos sulphureus     (Sulphur cosmos)</t>
  </si>
  <si>
    <t>Costus pulverulentus     (Spiral ginger)</t>
  </si>
  <si>
    <t>Crassocephalum crepidoides     (Redflower ragleaf)</t>
  </si>
  <si>
    <t>Crataegus aestivalis     (Mayhaw)</t>
  </si>
  <si>
    <t>Crataegus crus-galli     (Cockspur hawthorn)</t>
  </si>
  <si>
    <t>Crataegus mashallii     (Parsley haw)</t>
  </si>
  <si>
    <t>Crataegus michauxii     (Michaux's hawthorn)</t>
  </si>
  <si>
    <t>Crataegus opaca     (Riverflat hawthorn)</t>
  </si>
  <si>
    <t>Crataegus uniflora     (Dwarf hawthorn)</t>
  </si>
  <si>
    <t>Crataegus viridis     (Green haw)</t>
  </si>
  <si>
    <t>Crinum americanum     (Southern swamp-lily)</t>
  </si>
  <si>
    <t>Crinum bulbispermum     (Hardy swamplily)</t>
  </si>
  <si>
    <t>Crinum zeylanicum     (Milk-and-white lily)</t>
  </si>
  <si>
    <t>Crocanthemum carolinianum     (Carolina frostweed)</t>
  </si>
  <si>
    <t>Crocanthemum corymbosum     (Pinebarren frostweed)</t>
  </si>
  <si>
    <t>Crocanthemum georgianum     (Georgia frostweed)</t>
  </si>
  <si>
    <t>Crocanthemum nashii     (Florida scrub frostweed)</t>
  </si>
  <si>
    <t>Crocanthemum rosmarinifolium     (Rosemary frostweed)</t>
  </si>
  <si>
    <t>Croptilon divaricatum     (Slender scratchdaisy)</t>
  </si>
  <si>
    <t>Crotalaria alata     (Winged rattlebox)</t>
  </si>
  <si>
    <t>Crotalaria avonensis     (Avon park rattlebox)</t>
  </si>
  <si>
    <t>Crotalaria incana     (Shakeshake)</t>
  </si>
  <si>
    <t>Crotalaria lanceolata     (Lanceleaf rattlebox)</t>
  </si>
  <si>
    <t>Crotalaria ochroleuca     (Slenderleaf rattlebox)</t>
  </si>
  <si>
    <t>Crotalaria pallida var. obovata     (Pale Crotalaria)</t>
  </si>
  <si>
    <t>Crotalaria pumila     (Low rattlebox)</t>
  </si>
  <si>
    <t>Crotalaria purshii     (Pursh's rattlebox)</t>
  </si>
  <si>
    <t>Crotalaria retusa     (Rattleweed)</t>
  </si>
  <si>
    <t>Crotalaria rotundifolia     (Rabbitbells)</t>
  </si>
  <si>
    <t>Crotalaria spectabilis     (Showy rattlebox)</t>
  </si>
  <si>
    <t>Croton argyranthemus     (Silver croton)</t>
  </si>
  <si>
    <t>Croton capitatus     (Woolly croton, Hogwort)</t>
  </si>
  <si>
    <t>Croton elliotii     (Elliott's croton)</t>
  </si>
  <si>
    <t>Croton glandulosus     (Vente conmigo)</t>
  </si>
  <si>
    <t>Croton michauxii     (Rushfoil)</t>
  </si>
  <si>
    <t>Croton puncatus     (Gulf croton)</t>
  </si>
  <si>
    <t>Cryptocoryne walkeri     (Water-trumpet)</t>
  </si>
  <si>
    <t>Ctenitis sloanei     (Florida tree fern)</t>
  </si>
  <si>
    <t>Ctenitis submarginalis     (Brown-hair comb fern)</t>
  </si>
  <si>
    <t>Ctenium aromaticum     (Toothachegrass)</t>
  </si>
  <si>
    <t>Ctenium floridanum     (Florida toothachegrass)</t>
  </si>
  <si>
    <t>Ctenium spp.     (Toothache grass )</t>
  </si>
  <si>
    <t>Cucumis anguria     (Gooseberry gourd)</t>
  </si>
  <si>
    <t>Cucumis melo     (Cantaloupe)</t>
  </si>
  <si>
    <t>Cucurbita moschata     (Seminole pumpkin)</t>
  </si>
  <si>
    <t>Cupaniopsis anacardioides     (Carrotwood)</t>
  </si>
  <si>
    <t>Cuphea aspera     (Common waxweed)</t>
  </si>
  <si>
    <t>Cuphea carthagenensis     (Columbia waxweed )</t>
  </si>
  <si>
    <t>Cuphea hyssopifolia     (Mexican heather)</t>
  </si>
  <si>
    <t>Cuscuta americana     (American dodder)</t>
  </si>
  <si>
    <t>Cuscuta compacta     (Compact dodder)</t>
  </si>
  <si>
    <t>Cuscuta exaltata     (Tall dodder)</t>
  </si>
  <si>
    <t>Cuscuta gronovii     (Scaldweed)</t>
  </si>
  <si>
    <t>Cuscuta indecora     (Bigseed alfalfa dodder)</t>
  </si>
  <si>
    <t>Cuscuta obtusiflora     (Peruvian dodder)</t>
  </si>
  <si>
    <t>Cuscuta pentagona     (Fiveangled dodder)</t>
  </si>
  <si>
    <t>Cuscuta umbellata     (Flatglobe dodder)</t>
  </si>
  <si>
    <t>Cyanthillium cinereum     (Little ironweed)</t>
  </si>
  <si>
    <t>Cycas revoluta     (Sago palm)</t>
  </si>
  <si>
    <t>Cyclopogon cranichoides     (Cranichis ladiestresses)</t>
  </si>
  <si>
    <t>Cyclopogon elatus     (Tall neottia)</t>
  </si>
  <si>
    <t>Cyclospermum leptophyllum     (Marsh parsley)</t>
  </si>
  <si>
    <t>Cymbopogon citratus     (Lemongrass)</t>
  </si>
  <si>
    <t>Cymbopogon jwarancusa     (Oilgrass)</t>
  </si>
  <si>
    <t>Cynanchum northropiae     (Fragrant swallowwort)</t>
  </si>
  <si>
    <t>Cynodon dactylon     (Bermudagrass)</t>
  </si>
  <si>
    <t>Cynodon nlemfuensis     (African bermudagrass)</t>
  </si>
  <si>
    <t>Cynophalla flexuosa     (Bayleaf capertree)</t>
  </si>
  <si>
    <t>Cyperus alopecuroides     (Foxtail flatsedge)</t>
  </si>
  <si>
    <t>Cyperus alternifolius     (Alternate-leaf flatsedge)</t>
  </si>
  <si>
    <t>Cyperus articulatus     (Jointed flatsedge)</t>
  </si>
  <si>
    <t>Cyperus blepharoleptos     (Cuban bulrush)</t>
  </si>
  <si>
    <t>Cyperus compressus     (Poorland flatsedge)</t>
  </si>
  <si>
    <t>Cyperus croceus     (Baldwin's flatsedge)</t>
  </si>
  <si>
    <t>Cyperus cuspidatus     (Coastal-plain flatsedge)</t>
  </si>
  <si>
    <t>Cyperus difformis     (Variable flatsedge)</t>
  </si>
  <si>
    <t>Cyperus digitatus     (Finger flatsedge)</t>
  </si>
  <si>
    <t>Cyperus distinctus     (Marshland flatsedge)</t>
  </si>
  <si>
    <t>Cyperus drummondii     (Flatsedge)</t>
  </si>
  <si>
    <t>Cyperus elegans     (Royal flatsedge)</t>
  </si>
  <si>
    <t>Cyperus entrerianus     (Flatsedge)</t>
  </si>
  <si>
    <t>Cyperus erythrorhizos     (Red-root flatsedge)</t>
  </si>
  <si>
    <t>Cyperus esculentus     (Flatsedge)</t>
  </si>
  <si>
    <t>Cyperus filiculmis     (Sandhill flatsedge)</t>
  </si>
  <si>
    <t>Cyperus flavescens     (Yellow flatsedge)</t>
  </si>
  <si>
    <t>Cyperus flavicomus     (White-edge flatsedge)</t>
  </si>
  <si>
    <t>Cyperus giganteus     (Flatsedge)</t>
  </si>
  <si>
    <t>Cyperus globulosus     (Globe sedge)</t>
  </si>
  <si>
    <t>Cyperus haspan     (Sheathed flatsedge)</t>
  </si>
  <si>
    <t>Cyperus huamensis     (Black knotty-root flatsedge)</t>
  </si>
  <si>
    <t>Cyperus hyalinus     (Queensland flatsedge)</t>
  </si>
  <si>
    <t>Cyperus involucratus      (Umbrella plant)</t>
  </si>
  <si>
    <t>Cyperus iria     (Ricefield flatsedge)</t>
  </si>
  <si>
    <t>Cyperus lanceolatus     (Epiphytic flatsedge)</t>
  </si>
  <si>
    <t>Cyperus lecontei     (Leconte's flatsedge)</t>
  </si>
  <si>
    <t>Cyperus ligularis     (Swamp flatsedge)</t>
  </si>
  <si>
    <t>Cyperus metzii     (Flatsedge)</t>
  </si>
  <si>
    <t>Cyperus odoratus      (Sedge)</t>
  </si>
  <si>
    <t>Cyperus ovatus     (Pinebarren flatsedge)</t>
  </si>
  <si>
    <t>Cyperus ovularis     (Flatsedge)</t>
  </si>
  <si>
    <t>Cyperus papyrus     (Papyrus flatsedge)</t>
  </si>
  <si>
    <t>Cyperus pedunculatus     (Beachstar)</t>
  </si>
  <si>
    <t>Cyperus planifolius     (Flatleaf flatsedge)</t>
  </si>
  <si>
    <t>Cyperus plukenetii     (Plukenet's flatsedge)</t>
  </si>
  <si>
    <t>Cyperus polystachyos     (Manyspike flatsedge)</t>
  </si>
  <si>
    <t>Cyperus prolifer     (Dwarf papyrus)</t>
  </si>
  <si>
    <t>Cyperus pumilus     (Low flatsedge)</t>
  </si>
  <si>
    <t>Cyperus reflexus     (Flatsedge)</t>
  </si>
  <si>
    <t>Cyperus refractus     (Flatsedge)</t>
  </si>
  <si>
    <t>Cyperus retrofractus     (Flatsedge)</t>
  </si>
  <si>
    <t>Cyperus retrorsus     (Flatsedge)</t>
  </si>
  <si>
    <t>Cyperus richardii     (Richard's flatsedge)</t>
  </si>
  <si>
    <t>Cyperus rotundus     (Purple flatsedge)</t>
  </si>
  <si>
    <t>Cyperus sphacelatus     (Roadside flatsedge)</t>
  </si>
  <si>
    <t>Cyperus spp.     (Flatsedge)</t>
  </si>
  <si>
    <t>Cyperus squarrosus     (Bearded flatsedge)</t>
  </si>
  <si>
    <t>Cyperus strigosus     (Strawcolored flatsedge)</t>
  </si>
  <si>
    <t>Cyperus surinamensis     (Tropical flatsedge)</t>
  </si>
  <si>
    <t>Cyperus tetragonus     (Flatsedge)</t>
  </si>
  <si>
    <t>Cyperus thyrsiflorus     (Southern flatsedge)</t>
  </si>
  <si>
    <t>Cyperus virens     (Green flatsedge)</t>
  </si>
  <si>
    <t>Cypselea humifusa     (Panal)</t>
  </si>
  <si>
    <t>Cyrilla racemifolia     (Titi)</t>
  </si>
  <si>
    <t>Cyrtomium falcatum     (Japanese netvein holly fern)</t>
  </si>
  <si>
    <t>Dactyloctenium aegyptium     (Burban crowfootgrass)</t>
  </si>
  <si>
    <t>Dalbergia ecastaphyllum     (Coinvine)</t>
  </si>
  <si>
    <t>Dalbergia sissoo     (Indian rosewood)</t>
  </si>
  <si>
    <t>Dalea carnea     (Whitetassels)</t>
  </si>
  <si>
    <t>Dalea feayi     (Feay's prairieclover)</t>
  </si>
  <si>
    <t>Dalea pinnata     (Summer farewell)</t>
  </si>
  <si>
    <t>Damburneya coriacea     (Lancewood)</t>
  </si>
  <si>
    <t>Datura stramonium     (Jimsonweed)</t>
  </si>
  <si>
    <t>Daucus carota     (Queen Anne's lace)</t>
  </si>
  <si>
    <t>Daucus pusillus     (American wild carrot)</t>
  </si>
  <si>
    <t>Decodon verticillatus     (Swamp loosestrife)</t>
  </si>
  <si>
    <t>Decumaria barbara     (Cowitch vine)</t>
  </si>
  <si>
    <t>Deeringothamnus rugelii     (Rugel's false pawpaw)</t>
  </si>
  <si>
    <t>Delphinium ajacis     (Doubtful knight's-spur)</t>
  </si>
  <si>
    <t>Dendrophylax porrectus     (Needleroot airplant orchid)</t>
  </si>
  <si>
    <t>Deparia petersenii     (Japanese false speenwort)</t>
  </si>
  <si>
    <t>Descurainia pinnata     (Western tansymustard)</t>
  </si>
  <si>
    <t>Desmanthus virgatus     (Wild tantan)</t>
  </si>
  <si>
    <t>Desmodium canescens     (Hoary ticktrefoil)</t>
  </si>
  <si>
    <t>Desmodium ciliare     (Hairy small-leaf ticktrefoil)</t>
  </si>
  <si>
    <t>Desmodium floridanum     (Florida ticktrefoil)</t>
  </si>
  <si>
    <t>Desmodium incanum     (Zarzabacoa comun)</t>
  </si>
  <si>
    <t>Desmodium lineatum     (Sand ticktrefoil)</t>
  </si>
  <si>
    <t>Desmodium marilandicum     (Smooth ticktrefoil)</t>
  </si>
  <si>
    <t>Desmodium paniculatum     (Panicled ticktrefoil)</t>
  </si>
  <si>
    <t>Desmodium perplexum     (Perplexed ticktrefoil)</t>
  </si>
  <si>
    <t>Desmodium strictum     (Pinebarron ticktrefoil)</t>
  </si>
  <si>
    <t>Desmodium tenuifolium     (Slimleaf ticktrefoil)</t>
  </si>
  <si>
    <t>Desmodium tortousum     (Dixie ticktrefoil)</t>
  </si>
  <si>
    <t>Desmodium triflorum     (Threeflower ticktrefoil)</t>
  </si>
  <si>
    <t>Desmodium viridiflorum     (Velvetleaf ticktrefoil)</t>
  </si>
  <si>
    <t>Dianella ensifolia     (Cerulean flaxlily)</t>
  </si>
  <si>
    <t>Dicanthelium aciculare     (Needleleaf witchgrass)</t>
  </si>
  <si>
    <t>Dicanthelium acuminatum     (Tapered witchgrass)</t>
  </si>
  <si>
    <t>Dicanthelium commutatum     (Variable witchgrass)</t>
  </si>
  <si>
    <t>Dicanthelium dichotomum     (Cypress witchgrass)</t>
  </si>
  <si>
    <t>Dicanthelium ensifolium     (Cypress witchgrass)</t>
  </si>
  <si>
    <t>Dicanthelium erectifolium     (Erectleaf witchgrass)</t>
  </si>
  <si>
    <t>Dicanthelium leucothrix     (Rough witchgrass)</t>
  </si>
  <si>
    <t>Dicanthelium oligosanthes      (Heller's witchgrass)</t>
  </si>
  <si>
    <t>Dicanthelium ovale     (Eggleaf witchgrass )</t>
  </si>
  <si>
    <t>Dicanthelium portoricense     (Hemlock witchgrass )</t>
  </si>
  <si>
    <t>Dicanthelium scabriusculum     (Woolly witchgrass)</t>
  </si>
  <si>
    <t>Dicanthelium strigosum     (Roughhair witchgrass)</t>
  </si>
  <si>
    <t>Dicerandra christmanii     (Lake Wales balm)</t>
  </si>
  <si>
    <t>Dicerandra cornutissima     (Longspur balm)</t>
  </si>
  <si>
    <t>Dicerandra densiflora     (Florida balm)</t>
  </si>
  <si>
    <t>Dicerandra frutescens     (Scrub balm)</t>
  </si>
  <si>
    <t>Dicerandra modesta     (Blushing scrub balm)</t>
  </si>
  <si>
    <t>Dicerandra thinicola     (Titusville balm)</t>
  </si>
  <si>
    <t>Dichanthelium laxiflorum     (Openflower witchgrass)</t>
  </si>
  <si>
    <t>Dichanthelium sp.     (Panic grass)</t>
  </si>
  <si>
    <t>Dichondra caroliniensis     (Pony-foot)</t>
  </si>
  <si>
    <t>Dichondra micrantha     (Smallflowered ponysfoot)</t>
  </si>
  <si>
    <t>Dichromena colorata     (Starbrush white-topped sedge)</t>
  </si>
  <si>
    <t>Dichromena floridensis     (Everglades white-top sedge)</t>
  </si>
  <si>
    <t>Dichromena latifolia     (Giant white-top sedge)</t>
  </si>
  <si>
    <t>Dichrostachys cinerea     (Aroma)</t>
  </si>
  <si>
    <t>Dicliptera brachiata     (Wild mudwort)</t>
  </si>
  <si>
    <t>Dicliptera sexangularis     (Sixangle foldwing)</t>
  </si>
  <si>
    <t>Dicranopteris flexuosa     (Drooping forked fern)</t>
  </si>
  <si>
    <t>Digitaria bicornis     (Asian crabgrass)</t>
  </si>
  <si>
    <t>Digitaria ciliaris     (Southern crabgrass)</t>
  </si>
  <si>
    <t>Digitaria cognata     (Carolina crabgrass)</t>
  </si>
  <si>
    <t>Digitaria eriantha     (Pangolagrass)</t>
  </si>
  <si>
    <t>Digitaria filiformis     (Slender crabgrass)</t>
  </si>
  <si>
    <t>Digitaria gracillima     (Longleaf crabgrass)</t>
  </si>
  <si>
    <t>Digitaria insularis     (Sourgrass)</t>
  </si>
  <si>
    <t>Digitaria longiflora     (Indian crabgrass)</t>
  </si>
  <si>
    <t>Digitaria milanjiana     (Madagascar crabgrass)</t>
  </si>
  <si>
    <t>Digitaria pauciflora     (Everglades grass)</t>
  </si>
  <si>
    <t>Digitaria serotina     (Dwarf crabgrass)</t>
  </si>
  <si>
    <t>Digitaria violascens     (Violet crabgrass)</t>
  </si>
  <si>
    <t>Diodia teres     (Poor joe)</t>
  </si>
  <si>
    <t>Diodia virginiana     (Buttonweed)</t>
  </si>
  <si>
    <t>Dionaea muscipula     (Venus' flytrap)</t>
  </si>
  <si>
    <t>Dioscorea alata     (White yam)</t>
  </si>
  <si>
    <t>Dioscorea bulbifera     (Air-potato Yam)</t>
  </si>
  <si>
    <t>Dioscorea floridana     (Forida yam)</t>
  </si>
  <si>
    <t>Diospyros virginiana     (Wild persimmon)</t>
  </si>
  <si>
    <t>Diplazium esculentum     (Vegetable fern)</t>
  </si>
  <si>
    <t>Distichlis littoralis     (Shoregrass)</t>
  </si>
  <si>
    <t>Distichlis spicata     (Seashore saltgrass)</t>
  </si>
  <si>
    <t>Dodonaea viscosa     (Varnishleaf)</t>
  </si>
  <si>
    <t>Dolichandra unguis-cati     (Catclawvine)</t>
  </si>
  <si>
    <t>Drosera brevifolia     (Dwarf sundew)</t>
  </si>
  <si>
    <t>Drosera capillaris     (Pink sundew)</t>
  </si>
  <si>
    <t>Drosera filiformis     (Thread-leaf sundew)</t>
  </si>
  <si>
    <t>Drosera intermedia     (Spoon-leaf sundew)</t>
  </si>
  <si>
    <t>Drosera tracyi     (Gulf coast sundew)</t>
  </si>
  <si>
    <t>Drymaria cordata     (West indian chickweed)</t>
  </si>
  <si>
    <t>Dryopteris ludoviciana      (Southern shield-fern)</t>
  </si>
  <si>
    <t>Drypetes lateriflora     (Guiana plum)</t>
  </si>
  <si>
    <t>Dulichium arundinaceum          (Three way sedge)</t>
  </si>
  <si>
    <t>Duranta erecta     (Golden dewdrops)</t>
  </si>
  <si>
    <t>Duschesnea indica     (Indian strawberry)</t>
  </si>
  <si>
    <t>Dychoriste angusta     (Pineland twinflower)</t>
  </si>
  <si>
    <t>Dychoriste oblongifolia     (Oblongleaf twinflower)</t>
  </si>
  <si>
    <t>Dyschoriste humistata     (Swamp dyschoriste)</t>
  </si>
  <si>
    <t>Dyshania pumilio     (Ridged goosefoot)</t>
  </si>
  <si>
    <t>Dysphania ambrosioides     (Mexican tea)</t>
  </si>
  <si>
    <t>Echinochloa colona     (Jungle rice)</t>
  </si>
  <si>
    <t>Echinochloa crus-galli     (Barnyardgrass)</t>
  </si>
  <si>
    <t>Echinochloa muricata     (Rough barnyardgrass)</t>
  </si>
  <si>
    <t>Echinochloa paludigena     (Florida cockspur)</t>
  </si>
  <si>
    <t>Echinochloa spp.     (Jungle-rice, Cockspur grass)</t>
  </si>
  <si>
    <t>Echinochloa walteri     (Coast cockspur)</t>
  </si>
  <si>
    <t>Echinodorus cordifolius     (Creeping burrhead)</t>
  </si>
  <si>
    <t>Echinodorus grandiflorus     (Florida burrhead)</t>
  </si>
  <si>
    <t>Echinodorus spp.     (Burhead)</t>
  </si>
  <si>
    <t>Echinodorus tenellus     (Dwarf burrhead)</t>
  </si>
  <si>
    <t>Echites umbellatus     (Devil's potato)</t>
  </si>
  <si>
    <t>Eclipta alba     (Yerba de Tajo)</t>
  </si>
  <si>
    <t>Eclipta prostrata     (False daisy)</t>
  </si>
  <si>
    <t>Egeria densa     (Brazilian waterwed)</t>
  </si>
  <si>
    <t>Eichhornia crassipes     (Waterhyacinth)</t>
  </si>
  <si>
    <t>Elaeagnus pungens     (Silverthorn)</t>
  </si>
  <si>
    <t>Eleocharis albida     (White spikerush)</t>
  </si>
  <si>
    <t>Eleocharis atropurpurea     (Purple spikerush)</t>
  </si>
  <si>
    <t>Eleocharis baldwinii     (Roadgrass)</t>
  </si>
  <si>
    <t>Eleocharis cellulosa     (Gulf coast spikerush)</t>
  </si>
  <si>
    <t>Eleocharis confervoides     (Algal spikerush)</t>
  </si>
  <si>
    <t>Eleocharis elongata     (Slim spikerush)</t>
  </si>
  <si>
    <t>Eleocharis equisetoides     (Jointed spikerush)</t>
  </si>
  <si>
    <t>Eleocharis flavescens     (Yellow spikerush)</t>
  </si>
  <si>
    <t>Eleocharis geniculata     (Canada spikerush)</t>
  </si>
  <si>
    <t>Eleocharis interstincta     (Spikerush)</t>
  </si>
  <si>
    <t>Eleocharis melanocarpa     (Blackfruit spikerush)</t>
  </si>
  <si>
    <t>Eleocharis microcarpa     (Smallfruit spikerush)</t>
  </si>
  <si>
    <t>Eleocharis minima     (Small spikerush)</t>
  </si>
  <si>
    <t>Eleocharis montana     (Mountain spikerush)</t>
  </si>
  <si>
    <t>Eleocharis montevidensis     (Sand spikerush)</t>
  </si>
  <si>
    <t>Eleocharis nana     (Hairlike spikerush)</t>
  </si>
  <si>
    <t>Eleocharis nigrescens     (Black spikerush)</t>
  </si>
  <si>
    <t>Eleocharis obtusa     (Blunt spikerush)</t>
  </si>
  <si>
    <t>Eleocharis parvula     (Dwarf spikerush)</t>
  </si>
  <si>
    <t>Eleocharis quadrangulata     (Squarestem spikerush)</t>
  </si>
  <si>
    <t>Eleocharis sp.     (Spikerush)</t>
  </si>
  <si>
    <t>Eleocharis tricostata     (Three-angle spikerush)</t>
  </si>
  <si>
    <t>Eleocharis tuberculosa     (Conecup spikerush)</t>
  </si>
  <si>
    <t>Eleocharis vivipara     (Sprouting spikerush)</t>
  </si>
  <si>
    <t>Elephantopus carolinianus     (Carolina elephantsfoot)</t>
  </si>
  <si>
    <t>Elephantopus elatus     (Tall elephantsfoot)</t>
  </si>
  <si>
    <t>Elephantopus nudatus     (Smooth elephantsfoot)</t>
  </si>
  <si>
    <t>Eleusine indica     (Indian goosegrass)</t>
  </si>
  <si>
    <t>Elionurus tripsacoides     (Pan-american balsamscale)</t>
  </si>
  <si>
    <t>Elyonurus tripsacoides     (Pan-american balsam-scale)</t>
  </si>
  <si>
    <t>Elytriaria caroliniensis     (Carolina scaly-stem)</t>
  </si>
  <si>
    <t>Emilia fosbergii     (Florida tasselflower)</t>
  </si>
  <si>
    <t>Emilia sonchifolia     (Lilac tasselflower)</t>
  </si>
  <si>
    <t>Encyclia rufa     (Rufous butterfly orchid)</t>
  </si>
  <si>
    <t>Encyclia tampensis     (Florida butterfly orchid)</t>
  </si>
  <si>
    <t>Enterolobium contortisiliquum     (Earpod tree)</t>
  </si>
  <si>
    <t>Epidendrum conopseum     (Green-fly orchid)</t>
  </si>
  <si>
    <t>Epidendrum floridense     (Umbrella star orchid)</t>
  </si>
  <si>
    <t>Epipremnum pinnatum     (Golden pothos)</t>
  </si>
  <si>
    <t>Equisetum hyemale     (Horsetail)</t>
  </si>
  <si>
    <t>Eragrostis amabilis     (Feather lovegrass)</t>
  </si>
  <si>
    <t>Eragrostis atrovirens     (Thalia lovegrass)</t>
  </si>
  <si>
    <t>Eragrostis ciliaris     (Gophertail lovegrass)</t>
  </si>
  <si>
    <t>Eragrostis cumingii     (Fortyflower lovegrass)</t>
  </si>
  <si>
    <t>Eragrostis curvula     (Weeping lovegrass)</t>
  </si>
  <si>
    <t>Eragrostis elliottii     (Elliott's lovegrass)</t>
  </si>
  <si>
    <t>Eragrostis gangetica     (Slimflower lovegrass)</t>
  </si>
  <si>
    <t>Eragrostis hirsuta     (Bigtop lovegrass)</t>
  </si>
  <si>
    <t>Eragrostis hypnoides     (Teal lovegrass)</t>
  </si>
  <si>
    <t>Eragrostis minor     (Little lovegrass)</t>
  </si>
  <si>
    <t>Eragrostis pectinacea     (Tufted lovegrass)</t>
  </si>
  <si>
    <t>Eragrostis pilosa     (Indian lovegrass)</t>
  </si>
  <si>
    <t>Eragrostis polytricha     (Hairysheath lovegrass)</t>
  </si>
  <si>
    <t>Eragrostis scaligera      (Tender lovegrass)</t>
  </si>
  <si>
    <t>Eragrostis secundiflora     (Red lovegrass)</t>
  </si>
  <si>
    <t>Eragrostis spectabilis     (Purple lovegrass)</t>
  </si>
  <si>
    <t>Eragrostis spp.     (Lovegrass)</t>
  </si>
  <si>
    <t>Eragrostis unioloides     (Chinese lovegrass)</t>
  </si>
  <si>
    <t>Eragrostis virginica     (Coastal lovegrass)</t>
  </si>
  <si>
    <t>Erechtites hieraciifolius     (Fireweed)</t>
  </si>
  <si>
    <t>Eremochloa ophiuroides     (Centipedegrass)</t>
  </si>
  <si>
    <t>Erianthus brevibarbis     (Plumegrass)</t>
  </si>
  <si>
    <t>Erianthus giganteus     (Sugarcane plumegrass)</t>
  </si>
  <si>
    <t>Erianthus strictus     (Narrow plumegrass)</t>
  </si>
  <si>
    <t>Erigeron quercifoliius     (Fleabane)</t>
  </si>
  <si>
    <t>Erigeron strigosus     (Prairie fleabane)</t>
  </si>
  <si>
    <t>Erigeron vernus     (Early whitetop fleabane)</t>
  </si>
  <si>
    <t>Erigonum longifolium     (Longleaf wild buckwheat)</t>
  </si>
  <si>
    <t>Erigonum tomentosum     (Dogtongue wild buckwheat)</t>
  </si>
  <si>
    <t>Eriobotrya japonica     (Loquat)</t>
  </si>
  <si>
    <t>Eriocaulon compressum     (Flattened pipewort)</t>
  </si>
  <si>
    <t>Eriocaulon decangulare     (Tenangle pipewort)</t>
  </si>
  <si>
    <t>Eriocaulon lineare     (Narrow pipewort)</t>
  </si>
  <si>
    <t>Eriocaulon ravenelii     (Ravenel's pipewort)</t>
  </si>
  <si>
    <t>Eriocaulon spp.     (Pipewort)</t>
  </si>
  <si>
    <t>Eriochloa michauxii     (Michaux's cupgrass)</t>
  </si>
  <si>
    <t>Eriochloa polystachya     (Caribgrass)</t>
  </si>
  <si>
    <t>Eriochloa spp.     (Cupgrass)</t>
  </si>
  <si>
    <t>Erithalis fruticosa     (Black torchwood)</t>
  </si>
  <si>
    <t>Ernodea littoralis     (Beach creeper)</t>
  </si>
  <si>
    <t>Eryngium aquaticum     (Corn snakeroot)</t>
  </si>
  <si>
    <t>Eryngium aromaticum     (Fragrant eryngo)</t>
  </si>
  <si>
    <t>Eryngium baldwinii     (Baldwin's coyote-thistle)</t>
  </si>
  <si>
    <t>Eryngium cuneifolium     (Wedgeleaf eryngo)</t>
  </si>
  <si>
    <t>Eryngium integrifolium     (Blue-flower coyote-thistle)</t>
  </si>
  <si>
    <t>Eryngium prostratum     (Creeping coyote-thistle)</t>
  </si>
  <si>
    <t>Eryngium yuccifolium     (Rattlesnake master)</t>
  </si>
  <si>
    <t>Erythrina herbacea     (Coralbean)</t>
  </si>
  <si>
    <t>Erythrodes querceticola     (Low erythrodes)</t>
  </si>
  <si>
    <t>Eubotrys racemosus     (Swamp doghobble)</t>
  </si>
  <si>
    <t>Eucalyptus robusta     (Swampmahogany)</t>
  </si>
  <si>
    <t>Eugenia axillaris     (White stopper)</t>
  </si>
  <si>
    <t>Eugenia confusa     (Redberry stopper)</t>
  </si>
  <si>
    <t>Eugenia foetida     (Spanish stopper)</t>
  </si>
  <si>
    <t>Eugenia uniflora     (Surinam cherry)</t>
  </si>
  <si>
    <t>Eulophia alta     (Wild coco)</t>
  </si>
  <si>
    <t>Euonymus americanus     (American strawberrybush)</t>
  </si>
  <si>
    <t>Eupatoriadelphus fistulosus     (Joe-pye-weed)</t>
  </si>
  <si>
    <t>Eupatorium album     (White thoroughwort)</t>
  </si>
  <si>
    <t>Eupatorium capillifolium     (Dog fennel)</t>
  </si>
  <si>
    <t>Eupatorium compositifolium     (Dog fennel)</t>
  </si>
  <si>
    <t>Eupatorium fistulosum     (Queen-of-the-meadow)</t>
  </si>
  <si>
    <t>Eupatorium leptophyllum     (Marsh thoroughwort)</t>
  </si>
  <si>
    <t>Eupatorium leucolepis     (White-bract thoroughwort)</t>
  </si>
  <si>
    <t>Eupatorium linearifolium     (Waxy thoroughwort)</t>
  </si>
  <si>
    <t>Eupatorium mikanioides     (Semaphore thoroughwort)</t>
  </si>
  <si>
    <t>Eupatorium mohrii     (Mohr's thoroughwort)</t>
  </si>
  <si>
    <t>Eupatorium perfoliatum     (Boneset)</t>
  </si>
  <si>
    <t>Eupatorium pilosum     (Rough boneset)</t>
  </si>
  <si>
    <t>Eupatorium rotundifolium     (Roundleaf thoroughwort)</t>
  </si>
  <si>
    <t>Eupatorium semiserratum     (Smallflower thoroughwort)</t>
  </si>
  <si>
    <t>Eupatorium serotinum     (Lateflowering thoroughwort)</t>
  </si>
  <si>
    <t>Eupatorium spp.     (Thoroughworts)</t>
  </si>
  <si>
    <t>Eupatorium x anomalum     (Florida thoroughwort)</t>
  </si>
  <si>
    <t>Euphorbia commutata     (Tinted woodland spurge)</t>
  </si>
  <si>
    <t>Euphorbia curtisii     (Curtis' spurge)</t>
  </si>
  <si>
    <t>Euphorbia exserta     (Coastal spurge)</t>
  </si>
  <si>
    <t>Euphorbia graminea     (Grassleaf spurge)</t>
  </si>
  <si>
    <t>Euphorbia humistrata     (Spreading broomspurge)</t>
  </si>
  <si>
    <t>Euphorbia inundata     (Florida spurge)</t>
  </si>
  <si>
    <t>Euphorbia marginata     (Snow-on-the-mountain)</t>
  </si>
  <si>
    <t>Euphorbia polyphilla     (Many leaved spurge)</t>
  </si>
  <si>
    <t>Euphorbia rosescens     (Scrub spurge)</t>
  </si>
  <si>
    <t>Euphorbia trichotoma     (Sanddune spurge)</t>
  </si>
  <si>
    <t>Euploca polyphylla     (Pineland heliotrope)</t>
  </si>
  <si>
    <t>Eustachys distichophylla     (Weeping fingergrass)</t>
  </si>
  <si>
    <t>Eustachys floridana     (Twospike fingergrass)</t>
  </si>
  <si>
    <t>Eustachys glauca     (Saltmarsh fingergrass)</t>
  </si>
  <si>
    <t>Eustachys neglecta     (Fourspike fingergrass)</t>
  </si>
  <si>
    <t>Eustachys petraea     (Fingergrass )</t>
  </si>
  <si>
    <t>Eustoma exaltatum     (Prarie-gentian)</t>
  </si>
  <si>
    <t>Euthamia caroliniana     (Slender goldenrod)</t>
  </si>
  <si>
    <t>Euthamia graminifloia     (Flattop goldenrod)</t>
  </si>
  <si>
    <t>Euthamia minor     (Flat-topped goldenrod)</t>
  </si>
  <si>
    <t>Evovulus convolvuloides     (Evolvulus)</t>
  </si>
  <si>
    <t>Evovulus sericeus     (Siilky bindweed)</t>
  </si>
  <si>
    <t>Exothea paniculata     (Inkwood)</t>
  </si>
  <si>
    <t>Facelis retusa     (Annual trampweed)</t>
  </si>
  <si>
    <t>Fagopyrum esculentum     (Buckwheat)</t>
  </si>
  <si>
    <t>Fagus grandifolia     (American beech)</t>
  </si>
  <si>
    <t>Fallopia convolvulus     (Black bindweed)</t>
  </si>
  <si>
    <t>Fallopia scandens     (Climbing false buckwheat)</t>
  </si>
  <si>
    <t>Fatoua villosa     (Hairy crabweed)</t>
  </si>
  <si>
    <t>Ficus aurea     (Florida strangler-fig)</t>
  </si>
  <si>
    <t>Ficus carica     (Common fig)</t>
  </si>
  <si>
    <t>Ficus citrifolia     (Wild banyan tree)</t>
  </si>
  <si>
    <t>Ficus deltoidea     (Mistletoe rubberplant)</t>
  </si>
  <si>
    <t>Ficus microcarpa     (Indian laurel)</t>
  </si>
  <si>
    <t>Ficus pumila     (Climbing fig)</t>
  </si>
  <si>
    <t>Ficus religiosa     (Bo tree)</t>
  </si>
  <si>
    <t>Fimbristylis annua     (Annual fringe-rush)</t>
  </si>
  <si>
    <t>Fimbristylis autumnalis     (Slender fimbry)</t>
  </si>
  <si>
    <t>Fimbristylis caroliniana     (Carolina fimbry)</t>
  </si>
  <si>
    <t>Fimbristylis cymosa     (Hurricanegrass)</t>
  </si>
  <si>
    <t>Fimbristylis dichotoma     (Forked fimbry)</t>
  </si>
  <si>
    <t>Fimbristylis littoralis     (Grassly fimbry)</t>
  </si>
  <si>
    <t>Fimbristylis puberula     (Vahl's hairy fringe-rush)</t>
  </si>
  <si>
    <t>Fimbristylis schoenoides     (Ditch fimbry)</t>
  </si>
  <si>
    <t>Fimbristylis spadicea     (Marsh fimbry)</t>
  </si>
  <si>
    <t>Fimbristylis spathacea     (Hurricane grass)</t>
  </si>
  <si>
    <t>Fimbristylis spp.     (Fringe-rush)</t>
  </si>
  <si>
    <t>Firmiana simplex     (Chinese parasoltree)</t>
  </si>
  <si>
    <t>Flaveria bidentis     (Yellowtop)</t>
  </si>
  <si>
    <t>Flaveria floridana     (Yellowtop)</t>
  </si>
  <si>
    <t>Flaveria linearis     (Yellowtop)</t>
  </si>
  <si>
    <t>Flaveria trinervia     (Yellowtop)</t>
  </si>
  <si>
    <t>Fleischmannia incarnata     (Pink thoroughwort)</t>
  </si>
  <si>
    <t>Foeniculum vulgare     (Sweet fennel)</t>
  </si>
  <si>
    <t>Forestiera acuminata     (Swamp privet)</t>
  </si>
  <si>
    <t>Forestiera godfreyi     (Godfrey's swampprivet)</t>
  </si>
  <si>
    <t>Forestiera ligustrina     (Upland swampprivet)</t>
  </si>
  <si>
    <t>Forestiera segregata     (Florida privet)</t>
  </si>
  <si>
    <t>Fothergilla gardenii     (Dwarf witch-elder)</t>
  </si>
  <si>
    <t>Frangula caroliniana     (Carolina buckthorn)</t>
  </si>
  <si>
    <t>Fraxinus americana     (White ash)</t>
  </si>
  <si>
    <t>Fraxinus caroliniana     (Carolina ash)</t>
  </si>
  <si>
    <t>Fraxinus pennsylvanica     (Green ash)</t>
  </si>
  <si>
    <t>Fraxinus spp.     (Ash)</t>
  </si>
  <si>
    <t>Freesia laxa     (False freesia)</t>
  </si>
  <si>
    <t>Froelichia floridana     (Cottonweed)</t>
  </si>
  <si>
    <t>Fuirena breviseta     (Saltmarsh umbrellasedge)</t>
  </si>
  <si>
    <t>Fuirena pumila     (Dwarf Umbrella-sedge)</t>
  </si>
  <si>
    <t>Fuirena scirpoidea     (Fringe rush)</t>
  </si>
  <si>
    <t>Fuirena spp.     (Umbrella-sedge)</t>
  </si>
  <si>
    <t>Fuirena squarrosa     (Hairy umbrellasedge)</t>
  </si>
  <si>
    <t>Fumaria capreolata     (White ramping fumitory)</t>
  </si>
  <si>
    <t>Fumaria officinalis     (Drug fumitory)</t>
  </si>
  <si>
    <t>Fumaria parviflora     (Smallflower fumitory)</t>
  </si>
  <si>
    <t>Funastrum clausum     (White twinevine)</t>
  </si>
  <si>
    <t>Gaillardia aestivalis     (Lanceleaf blanketflower)</t>
  </si>
  <si>
    <t>Gaillardia pulchella     (Firewheel)</t>
  </si>
  <si>
    <t>Galactia elliottii     (Milkpea)</t>
  </si>
  <si>
    <t>Galactia erecta     (Erect milkpea)</t>
  </si>
  <si>
    <t>Galactia floridana     (Florida milkpea)</t>
  </si>
  <si>
    <t>Galactia microphylla     (Eastern milkpea)</t>
  </si>
  <si>
    <t>Galactia mollis     (Soft milkpea)</t>
  </si>
  <si>
    <t>Galactia sp.     (Milk-pea)</t>
  </si>
  <si>
    <t>Galactia volubilis     (Eastern milkpea)</t>
  </si>
  <si>
    <t>Galinsoga quadriradiata     (Peruvian daisy)</t>
  </si>
  <si>
    <t>Galium aparine     (Goosegrass)</t>
  </si>
  <si>
    <t>Galium hispidulum     (Coastal bedstraw)</t>
  </si>
  <si>
    <t>Galium pilosum     (Hairy bedstraw)</t>
  </si>
  <si>
    <t>Galium tinctorium     (Bedstraw)</t>
  </si>
  <si>
    <t>Galium uniflorum     (Oneflower bedstraw)</t>
  </si>
  <si>
    <t>Gamochaeta antillana     (Caribbean purple everlasting)</t>
  </si>
  <si>
    <t>Gamochaeta argyrinea     (Silvery cudweed)</t>
  </si>
  <si>
    <t>Gamochaeta chionesthes     (White-cloaked cudweed)</t>
  </si>
  <si>
    <t>Gamochaeta coarctata     (American everlasting)</t>
  </si>
  <si>
    <t>Gamochaeta pensylvanica     (Pennsylvania everlasting)</t>
  </si>
  <si>
    <t>Gamochaeta purpurea     (Spoonleaf purple everlasting)</t>
  </si>
  <si>
    <t>Garberia heterophylla     (Garberia)</t>
  </si>
  <si>
    <t>Gaylussacia dumosa     (Dwarf huckleberry)</t>
  </si>
  <si>
    <t>Gaylussacia frondosa     (Dangleberry)</t>
  </si>
  <si>
    <t>Gaylussacia mosieri     (Wooly-berry)</t>
  </si>
  <si>
    <t>Gelsemium sempervirens     (Yellow jessamine)</t>
  </si>
  <si>
    <t>Gentiana catesbaei     (Catesby's gentian)</t>
  </si>
  <si>
    <t>Gentiana spp.     (Gentian)</t>
  </si>
  <si>
    <t>Geobalanus oblongifolius     (Gopher apple)</t>
  </si>
  <si>
    <t>Geranium bicknellii     (Bicknell's cranesbill)</t>
  </si>
  <si>
    <t>Geranium carolinianum     (Carolina cranesbill)</t>
  </si>
  <si>
    <t>Gerbera jamesonii     (Transvall daisy)</t>
  </si>
  <si>
    <t>Gibasis pellucida     (Tahitian bridalveil)</t>
  </si>
  <si>
    <t>Gisekia pharnacioides     (Oldmaid)</t>
  </si>
  <si>
    <t>Gladiolus dalenii     (Gladiolus)</t>
  </si>
  <si>
    <t>Glandularia aristigera     (South american mock vervain)</t>
  </si>
  <si>
    <t>Glandularia canadensis     (Rose mock vervain)</t>
  </si>
  <si>
    <t>Glandularia maritima     (Coastal mock vervain)</t>
  </si>
  <si>
    <t>Glandularia tampensis     (Tampa mock vervain)</t>
  </si>
  <si>
    <t>Gleditsia aquatica     (Water locust)</t>
  </si>
  <si>
    <t>Gleditsia triacanthos     (Honey-locust)</t>
  </si>
  <si>
    <t>Gloriosa superba     (Flamelily)</t>
  </si>
  <si>
    <t>Glyceria septentrionalis     (Eastern mannagrass)</t>
  </si>
  <si>
    <t>Glyceria striata     (Fowl mannagrass)</t>
  </si>
  <si>
    <t>Gomphrena serrata     (Prostrate globe amaranth)</t>
  </si>
  <si>
    <t>Gonolobus suberosus     (Angularfruit milkvine)</t>
  </si>
  <si>
    <t>Gordonia lasianthus     (Loblolly bay)</t>
  </si>
  <si>
    <t>Gossypium hirsutum     (Upland cotton)</t>
  </si>
  <si>
    <t>Gouania lupuloides     (Chewstick)</t>
  </si>
  <si>
    <t>Graptohyllum pictum     (Caricatureplant)</t>
  </si>
  <si>
    <t>Gratiola brevifolia     (Sticky hedgehyssop)</t>
  </si>
  <si>
    <t>Gratiola floidana     (Florida hedgehyssop)</t>
  </si>
  <si>
    <t>Gratiola hispida     (Hispid hyssop)</t>
  </si>
  <si>
    <t>Gratiola ramosa     (Branched hedgehyssop)</t>
  </si>
  <si>
    <t>Gratiola spp.     (Hedgehyssop)</t>
  </si>
  <si>
    <t>Gratiola virginiana     (Roundfruit hedgehyssop)</t>
  </si>
  <si>
    <t>Gratiola viscidula     (Short's hedgehyssop)</t>
  </si>
  <si>
    <t>Grevilea robusta     (Silkoak)</t>
  </si>
  <si>
    <t>Guapira discolor     (Beeftree)</t>
  </si>
  <si>
    <t>Guettarda elliptica     (Hammock velvetseed)</t>
  </si>
  <si>
    <t>Guettarda scabra     (Rough velvetseed)</t>
  </si>
  <si>
    <t>Guilandina bonduc     (Gray nicker)</t>
  </si>
  <si>
    <t>Guilandina major      (Hawaii pearls, yellow nicker)</t>
  </si>
  <si>
    <t>Gymnanthes lucida     (Crabwood, Oysterwood)</t>
  </si>
  <si>
    <t>Gymnopogon ambiguus     (Bearded skeletongrass)</t>
  </si>
  <si>
    <t>Gymnopogon brevifolius     (Shortleaf skeletongrass)</t>
  </si>
  <si>
    <t>Gymnopogon chapmanianus     (Chapman's skeletongrass)</t>
  </si>
  <si>
    <t>Gymnostyles anthemifolia     (Button burrwed)</t>
  </si>
  <si>
    <t>Gynandropsis gynandra     (Spiderwisp)</t>
  </si>
  <si>
    <t>Habenaria floribunda     (Toothpetal false reinorchid)</t>
  </si>
  <si>
    <t>Habenaria quinqueseta     (Longhorn false reinorchid)</t>
  </si>
  <si>
    <t>Habenaria repens     (Waterspider false reinorchid)</t>
  </si>
  <si>
    <t>Habenaria spp.     (Rein orchid)</t>
  </si>
  <si>
    <t>Habranthus robustus     (Copperlily)</t>
  </si>
  <si>
    <t>Hackelochloa granularis     (Pitscalegrass)</t>
  </si>
  <si>
    <t>Halesia carolina     (Carolina silverbell)</t>
  </si>
  <si>
    <t>Halesia diptera     (Silver-bell)</t>
  </si>
  <si>
    <t>Hamamelis virginiana     (American witchhazel)</t>
  </si>
  <si>
    <t>Hamelia patens     (Firebush)</t>
  </si>
  <si>
    <t>Harpercallis flava     (Harper's beauty)</t>
  </si>
  <si>
    <t>Harrisia fragrans     (Caribbean applecactus)</t>
  </si>
  <si>
    <t>Hartwrightia floridana     (Florida hartwrightia)</t>
  </si>
  <si>
    <t>Hasteola robertiorum     (Hammockherb)</t>
  </si>
  <si>
    <t>Hedera algeriensis     (Algerian ivy)</t>
  </si>
  <si>
    <t>Hedera helix     (English ivy)</t>
  </si>
  <si>
    <t>Hedychium coronarium     (Ginger)</t>
  </si>
  <si>
    <t>Helenium amarum     (Pasture sneezeweed)</t>
  </si>
  <si>
    <t>Helenium autumnale     (Common sneezeweed)</t>
  </si>
  <si>
    <t>Helenium flexuosum     (Purplehead sneezeweed)</t>
  </si>
  <si>
    <t>Helenium pinnatifidum     (Southeastern sneezeweed)</t>
  </si>
  <si>
    <t>Helenium spp.     (Sneezeweed )</t>
  </si>
  <si>
    <t>Helenium vernale     (Savannah sneezeweed)</t>
  </si>
  <si>
    <t>Helianthus agrestis     (Southeastern sunflower)</t>
  </si>
  <si>
    <t>Helianthus angustifolius     (Swamp sunflower)</t>
  </si>
  <si>
    <t>Helianthus annuus     (Common sunflower)</t>
  </si>
  <si>
    <t>Helianthus argophyllus     (Silverleaf sunflower)</t>
  </si>
  <si>
    <t>Helianthus carnosus     (Lakeside sunflower)</t>
  </si>
  <si>
    <t>Helianthus debilis     (East coast dune sunflower)</t>
  </si>
  <si>
    <t>Helianthus floridanus     (Florida sunflower)</t>
  </si>
  <si>
    <t>Helianthus heterophyllus     (Wetland sunflower)</t>
  </si>
  <si>
    <t>Helianthus hirsutus     (Hairy sunflower)</t>
  </si>
  <si>
    <t>Helianthus microcephalus     (Small woodland sunflower)</t>
  </si>
  <si>
    <t>Helianthus radula     (Stiff sunflower)</t>
  </si>
  <si>
    <t>Helianthus simulans     (Muck sunflower)</t>
  </si>
  <si>
    <t>Helianthus strumosus     (Paleleaf woodland sunflower)</t>
  </si>
  <si>
    <t>Heliotropium amplexicaule     (Clasping heliotrope)</t>
  </si>
  <si>
    <t>Heliotropium angiospermum     (Scorpionstail)</t>
  </si>
  <si>
    <t>Heliotropium curassavicum     (Seaside heliotrope)</t>
  </si>
  <si>
    <t>Heliotropium gnaphalodes     (Sea rosemary)</t>
  </si>
  <si>
    <t>Heliotropium phlyphyllum     (Heliotrope)</t>
  </si>
  <si>
    <t>Heliotropium procumbens     (Four-spike heliotrope)</t>
  </si>
  <si>
    <t>Hemarthria altissima     (Limpograss)</t>
  </si>
  <si>
    <t>Hemerocallis fulva     (Orange daylily)</t>
  </si>
  <si>
    <t>Hemerocallis lilioasphodelus     (Yellow daylily)</t>
  </si>
  <si>
    <t>Hemicarpha spp.     (Dwarf-bullrush)</t>
  </si>
  <si>
    <t>Herissantia crispa     (Bladdermallow)</t>
  </si>
  <si>
    <t>Heteranthera limosa     (Blue mudplantain)</t>
  </si>
  <si>
    <t>Heteranthera reniformis     (Kidney-leaf mud-plantain)</t>
  </si>
  <si>
    <t>Heteropogon contortus     (Tanglehead)</t>
  </si>
  <si>
    <t>Heteropogon melanocarpus     (Sweet tanglehead)</t>
  </si>
  <si>
    <t>Heterotheca subaxillaris     (Camphorweed)</t>
  </si>
  <si>
    <t>Hexalectris spicata     (Spiked crested coralroot)</t>
  </si>
  <si>
    <t>Hibiscus acetosella     (African rosemallow)</t>
  </si>
  <si>
    <t>Hibiscus aculeatus     (Rosemallow)</t>
  </si>
  <si>
    <t>Hibiscus coccineus     (Scarlet rosemallow)</t>
  </si>
  <si>
    <t>Hibiscus furcellatus     (Lindenleaf rosemallow)</t>
  </si>
  <si>
    <t>Hibiscus grandiflorus     (Swamp rosemallow)</t>
  </si>
  <si>
    <t>Hibiscus laevis     (Halberd-leaf rosemallow)</t>
  </si>
  <si>
    <t>Hibiscus moscheutos     (Swamp rosemallow)</t>
  </si>
  <si>
    <t>Hibiscus radiatus     (Monarch rosemallow)</t>
  </si>
  <si>
    <t>Hibiscus rosa-sinensis     (Garden rosemallow)</t>
  </si>
  <si>
    <t>Hibiscus tiliaceus     (Sea rosemallow )</t>
  </si>
  <si>
    <t>Hieracium aurantiacum     (King-devil)</t>
  </si>
  <si>
    <t>Hieracium gronovii     (Queen-devil)</t>
  </si>
  <si>
    <t>Hieracium megacephalon     (Coastalplain hawkweed)</t>
  </si>
  <si>
    <t>Hordeum pusillum     (Little barley)</t>
  </si>
  <si>
    <t>Hordeum vulgare     (Common barley)</t>
  </si>
  <si>
    <t>Houstonia procumbens     (Roundleaf bluet)</t>
  </si>
  <si>
    <t>Hydrangea quercifolia     (Oakleaf hydrangea)</t>
  </si>
  <si>
    <t>Hydrocleis nymphoides     (Water-poppy)</t>
  </si>
  <si>
    <t>Hydrocotyle bonariensis     (Largeleaf marshpennywort)</t>
  </si>
  <si>
    <t>Hydrocotyle bowlesioides     (Largeleaf marshpennywort)</t>
  </si>
  <si>
    <t>Hydrocotyle ranunculoides     (Floating pennywort)</t>
  </si>
  <si>
    <t>Hydrocotyle spp.     (Pennywort)</t>
  </si>
  <si>
    <t>Hydrocotyle umbellata     (Umbrella pennywort)</t>
  </si>
  <si>
    <t>Hydrocotyle verticillata     (Whorled pennywort)</t>
  </si>
  <si>
    <t>Hydrolea corymbosa     (Skyflower)</t>
  </si>
  <si>
    <t>Hydrolea quadrivalvis     (Waterpod)</t>
  </si>
  <si>
    <t>Hydrolea spp.     (False-fiddle-leaf)</t>
  </si>
  <si>
    <t>Hydrolochloa caroliniensis     (Watergrass)</t>
  </si>
  <si>
    <t>Hygrophila costata     (Gulf swampweed)</t>
  </si>
  <si>
    <t>Hygrophila difformis     (Wild wisteria)</t>
  </si>
  <si>
    <t>Hygrophila polysperma     (Indian swampweed)</t>
  </si>
  <si>
    <t>Hygrophila spp.     (Hygrophila)</t>
  </si>
  <si>
    <t>Hylodesmum nudiflorum     (Nakedflower ticktrefoil)</t>
  </si>
  <si>
    <t>Hymenachne amplexicaulis     (Trompetilla)</t>
  </si>
  <si>
    <t>Hymenocallis crassifolia     (Coastalplain spiderlily)</t>
  </si>
  <si>
    <t>Hymenocallis duvalensis     (Whitesands spiderlily)</t>
  </si>
  <si>
    <t>Hymenocallis latifolia     (Mangrove spiderlily)</t>
  </si>
  <si>
    <t>Hymenocallis palmeri     (Alligatorlily)</t>
  </si>
  <si>
    <t>Hymenocallis rotata     (Spring-run spiderlily)</t>
  </si>
  <si>
    <t>Hymenocallis spp.     (Spider-lily)</t>
  </si>
  <si>
    <t>Hymenocallis tridentata     (Florida spiderlily)</t>
  </si>
  <si>
    <t>Hymenopappus scabiosaeus     (Carolina woollywhite)</t>
  </si>
  <si>
    <t>Hyparrhenia rufa     (Jaragua)</t>
  </si>
  <si>
    <t>Hypericum brachyphyllum     (St. John's wort)</t>
  </si>
  <si>
    <t>Hypericum canadense     (Lesser canadian st. john's-wort)</t>
  </si>
  <si>
    <t>Hypericum chapmanii     (Chapman's St. John's wort)</t>
  </si>
  <si>
    <t>Hypericum cistifolium     (St. John's wort)</t>
  </si>
  <si>
    <t>Hypericum crux-andreae     (St. peter's-wort)</t>
  </si>
  <si>
    <t>Hypericum cumulicola     (Scrub St John's wort)</t>
  </si>
  <si>
    <t>Hypericum drummondii     (Drummond's St. Johns wort)</t>
  </si>
  <si>
    <t>Hypericum edisonianum     (Edison's St. John's wort)</t>
  </si>
  <si>
    <t>Hypericum fasciculatum     (Marsh St. John's wort)</t>
  </si>
  <si>
    <t>Hypericum galioides     (Bedstraw st. john's-wort)</t>
  </si>
  <si>
    <t>Hypericum gentianoides     (Pineweed)</t>
  </si>
  <si>
    <t>Hypericum hypericoides     (St. Andrew's cross)</t>
  </si>
  <si>
    <t>Hypericum lissophloeus     (Smooth bark St. John's wort)</t>
  </si>
  <si>
    <t>Hypericum microsepalum     (Small-sepal St. John's wort)</t>
  </si>
  <si>
    <t>Hypericum mutilum     (Dwarf st. john's-wort)</t>
  </si>
  <si>
    <t>Hypericum myrtifolium     (St. John's wort)</t>
  </si>
  <si>
    <t>Hypericum nitidum     (Carolina St. John's wort)</t>
  </si>
  <si>
    <t>Hypericum prolificum     (Shrubby St. John's wort)</t>
  </si>
  <si>
    <t>Hypericum punctatum     (Dotted St. John's wort)</t>
  </si>
  <si>
    <t>Hypericum reductum     (Atlantic St. John's wort)</t>
  </si>
  <si>
    <t>Hypericum setosum     (Hairy st. john's-wort)</t>
  </si>
  <si>
    <t>Hypericum spp.     (St. John's wort)</t>
  </si>
  <si>
    <t>Hypericum suffruticosum     (Pineland st. john's-wort)</t>
  </si>
  <si>
    <t>Hypericum tenuifolium     (Atlantic st. john's-wort)</t>
  </si>
  <si>
    <t>Hypericum tetrapetalum     (Four-petal St. John's wort)</t>
  </si>
  <si>
    <t>Hypochaeris chillensis     (South american catsear)</t>
  </si>
  <si>
    <t>Hypochaeris glabra     (Smooth catsear)</t>
  </si>
  <si>
    <t>Hypoestes phyllostachya     (Polka-dot plant)</t>
  </si>
  <si>
    <t>Hypolepis repens     (Bead fern)</t>
  </si>
  <si>
    <t>Hypopitys lanuginosa     (Pinesap)</t>
  </si>
  <si>
    <t>Hypoxis curtissii     (Common yellow stargrass)</t>
  </si>
  <si>
    <t>Hypoxis juncea     (Fringed yellow stargrass)</t>
  </si>
  <si>
    <t>Hypoxis sessilis     (Glossyseed yellow stargrass)</t>
  </si>
  <si>
    <t>Hypoxis spp.     (Yellow stargrasses)</t>
  </si>
  <si>
    <t>Hypoxis wrightii     (Bristleseed yellow stargrass)</t>
  </si>
  <si>
    <t>Hyptis alata     (Musky mint)</t>
  </si>
  <si>
    <t>Hyptis brevipes     (Lesser roundweed)</t>
  </si>
  <si>
    <t>Ibicella lutea     (Yellow unicornplant)</t>
  </si>
  <si>
    <t>Ilex ambigua     (Carolina holly)</t>
  </si>
  <si>
    <t>Ilex amelanchier     (Sarvis holly)</t>
  </si>
  <si>
    <t>Ilex cassine     (Dahoon holly)</t>
  </si>
  <si>
    <t>Ilex coriacea     (Bay-gall holly)</t>
  </si>
  <si>
    <t>Ilex decidua     (Deciduous holly)</t>
  </si>
  <si>
    <t>Ilex glabra     (Gallberry)</t>
  </si>
  <si>
    <t>Ilex myrtifolia     (Myrtle holly)</t>
  </si>
  <si>
    <t>Ilex opaca var. opaca     (American holly)</t>
  </si>
  <si>
    <t>Ilex vericillata     (Winterberry )</t>
  </si>
  <si>
    <t>Ilex vomitoria     (Yaupon holly)</t>
  </si>
  <si>
    <t>Illicium floridanum     (Florida anise)</t>
  </si>
  <si>
    <t>Illicium parviflorum     (Star anise)</t>
  </si>
  <si>
    <t>Impatiens capensis     (Spotted touch-me-not)</t>
  </si>
  <si>
    <t>Impatiens walleriana     (Garden impatiens)</t>
  </si>
  <si>
    <t>Imperata brasiliensis     (Brazilian satintail)</t>
  </si>
  <si>
    <t>Imperata cylindrica     (Cogongrass)</t>
  </si>
  <si>
    <t>Indigofera caroliniana     (Carolina indigo)</t>
  </si>
  <si>
    <t>Indigofera colutea     (Rusty indigo)</t>
  </si>
  <si>
    <t>Indigofera hirsuta     (Hairy indigo)</t>
  </si>
  <si>
    <t>Indigofera miniata     (Coastal indigo)</t>
  </si>
  <si>
    <t>Indigofera pilosa     (Softhairy indigo)</t>
  </si>
  <si>
    <t>Indigofera spicata     (Trailing indigo)</t>
  </si>
  <si>
    <t>Indigofera suffruticosa     (Anil de pasto)</t>
  </si>
  <si>
    <t>Ipomoea alba     (Moonflower)</t>
  </si>
  <si>
    <t>Ipomoea batatas     (Sweetpotato)</t>
  </si>
  <si>
    <t>Ipomoea cairica     (Mile-a-minute vine)</t>
  </si>
  <si>
    <t>Ipomoea cordatotriloba     (Tievine)</t>
  </si>
  <si>
    <t>Ipomoea hederacea     (Ivyleaf morning-glory)</t>
  </si>
  <si>
    <t>Ipomoea hederifolia     (Scarletcreeper)</t>
  </si>
  <si>
    <t>Ipomoea imperati     (Beach morning-glory)</t>
  </si>
  <si>
    <t>Ipomoea indica     (Oceanblue morning-glory)</t>
  </si>
  <si>
    <t>Ipomoea lacunosa     (Whitestar)</t>
  </si>
  <si>
    <t>Ipomoea macrorhiza     (Largeroot morning-glory)</t>
  </si>
  <si>
    <t>Ipomoea muricata     (Lilacbell)</t>
  </si>
  <si>
    <t>Ipomoea pandurata     (Man-of-the-earth)</t>
  </si>
  <si>
    <t>Ipomoea pes-caprae     (Railroad vine)</t>
  </si>
  <si>
    <t>Ipomoea purpurea     (Tall morning-glory)</t>
  </si>
  <si>
    <t>Ipomoea quamoclit     (Cypressvine)</t>
  </si>
  <si>
    <t>Ipomoea sagittata     (Morning glory)</t>
  </si>
  <si>
    <t>Ipomoea setosa     (Brazilian morning-glory)</t>
  </si>
  <si>
    <t>Ipomoea triloba     (Littlebell)</t>
  </si>
  <si>
    <t>Ipomopsis rubra     (Standingcypress)</t>
  </si>
  <si>
    <t>Iresine diffusa     (Juba's bush)</t>
  </si>
  <si>
    <t>Iresine rhizomatosa     (Rootstock bloodleaf)</t>
  </si>
  <si>
    <t>Iris hexagona     (Dixie iris)</t>
  </si>
  <si>
    <t>Iris spp.     (Iris)</t>
  </si>
  <si>
    <t>Iris verna     (Dwarf iris)</t>
  </si>
  <si>
    <t>Iris virginica     (Virginia iris, Blue flag iris)</t>
  </si>
  <si>
    <t>Isoetes appalachiana     (Appalachian quillwort)</t>
  </si>
  <si>
    <t>Isoetes boomii     (Boom's quillwort)</t>
  </si>
  <si>
    <t>Isoetes flaccida     (Florida quillwort)</t>
  </si>
  <si>
    <t>Isoetes spp.     (Quillwort)</t>
  </si>
  <si>
    <t>Itea virginica     (Virginia willow)</t>
  </si>
  <si>
    <t>Iva frutescens     (Marsh elder)</t>
  </si>
  <si>
    <t>Iva imbricata     (Seacoast marshelder)</t>
  </si>
  <si>
    <t>Iva microcephala     (Little marsh elder)</t>
  </si>
  <si>
    <t>Jacaranda mimosifolia     (Jacaranda)</t>
  </si>
  <si>
    <t>Jacquemontia tamnifolia     (Hairy clustervine)</t>
  </si>
  <si>
    <t>Jacquinia keyensis     (Joewood)</t>
  </si>
  <si>
    <t>Jasminum dichotomum     (Gold coast jasmine)</t>
  </si>
  <si>
    <t>Jasminum fluminense     (Brazilian jasmine)</t>
  </si>
  <si>
    <t>Jasminum multiflorum     (Star jasmine)</t>
  </si>
  <si>
    <t>Jatropha curcas     (Nutmeg plant)</t>
  </si>
  <si>
    <t>Jatropha integerrima     (Peregrina)</t>
  </si>
  <si>
    <t>Jatropha multifida     (Coralbush)</t>
  </si>
  <si>
    <t>Juglans nigra     (Black walnet)</t>
  </si>
  <si>
    <t>Juncus acuminatus     (Tapertip rush)</t>
  </si>
  <si>
    <t>Juncus bufonis     (Toad rush)</t>
  </si>
  <si>
    <t>Juncus canadensis     (Canadian rush)</t>
  </si>
  <si>
    <t>Juncus coriaceus     (Leathery rush)</t>
  </si>
  <si>
    <t>Juncus dichotomus     (Forked rush)</t>
  </si>
  <si>
    <t>Juncus diffusissimus     (Slimpod rush)</t>
  </si>
  <si>
    <t>Juncus effusus     (Soft rush)</t>
  </si>
  <si>
    <t>Juncus elliottii     (Bog rush)</t>
  </si>
  <si>
    <t>Juncus marginatus     (Shore rush)</t>
  </si>
  <si>
    <t>Juncus megacephalus     (Bighead rush)</t>
  </si>
  <si>
    <t>Juncus polycephalos     (Manyhead rush)</t>
  </si>
  <si>
    <t>Juncus repens     (Lesser creeping rush)</t>
  </si>
  <si>
    <t>Juncus roemerianus     (Needle rush)</t>
  </si>
  <si>
    <t>Juncus scirpoides     (Needlepod rush)</t>
  </si>
  <si>
    <t>Juncus spp.     (Rush)</t>
  </si>
  <si>
    <t>Juncus tenuis     (Rush)</t>
  </si>
  <si>
    <t>Juncus validus     (Roundhead rush)</t>
  </si>
  <si>
    <t>Juniperus silicicola     (Southern red cedar)</t>
  </si>
  <si>
    <t>Juniperus virginiana     (Red cedar)</t>
  </si>
  <si>
    <t>Justicia angusta     (Pineland waterwillow)</t>
  </si>
  <si>
    <t>Justicia brandegeana     (Shrimp plant)</t>
  </si>
  <si>
    <t>Justicia ovata     (Looseflower waterwillow)</t>
  </si>
  <si>
    <t>Justicia pringlei     (Cooley's waterwillow)</t>
  </si>
  <si>
    <t>Justicia spp.     (Water-willow)</t>
  </si>
  <si>
    <t>Kalanchoe daigremontiana     (Devil's backbone)</t>
  </si>
  <si>
    <t>Kalanchoe delangoensis     (Chandelier plant)</t>
  </si>
  <si>
    <t>Kalanchoe pinnata     (Cathedral bells)</t>
  </si>
  <si>
    <t>Kalanchoe x houghtonii     (Mother-of-millions)</t>
  </si>
  <si>
    <t>Kallstoemia maxima     (Big caltrop)</t>
  </si>
  <si>
    <t>Kalmia hirsuta     (Wicky)</t>
  </si>
  <si>
    <t>Kalmia latifolia     (Mountain laurel)</t>
  </si>
  <si>
    <t>Kellochloa verrucosa     (Warty panicgrass)</t>
  </si>
  <si>
    <t>Koelreuteria elegans     (Flamegold)</t>
  </si>
  <si>
    <t>Kosteletzkya pentacarpos     (Virginia saltmarsh willow)</t>
  </si>
  <si>
    <t>Kosteletzkya pentasperma     (Coastal mallow)</t>
  </si>
  <si>
    <t>Kosteletzkya virginica     (Saltmarsh mallow)</t>
  </si>
  <si>
    <t>Krameria lanceolata     (Sandspur)</t>
  </si>
  <si>
    <t>Krigia cespitosa     (Weedy dwarfdandelion)</t>
  </si>
  <si>
    <t>Krigia virginica     (Virginia dwarfdandelion)</t>
  </si>
  <si>
    <t>Krugiodendron ferreum     (Black ironwood)</t>
  </si>
  <si>
    <t>Kummerowia striata     (Japanese clover)</t>
  </si>
  <si>
    <t>Kyllinga brevifolia     (Shortleaf spikesedge)</t>
  </si>
  <si>
    <t>Kyllinga odorata     (Fragrant spikesedge)</t>
  </si>
  <si>
    <t>Kyllinga pumila     (Low spikesedge)</t>
  </si>
  <si>
    <t>Kyllinga squamulata     (Asian spikesedge)</t>
  </si>
  <si>
    <t>Lachnanthes caroliniana     (Redroot)</t>
  </si>
  <si>
    <t>Lachnocaulon anceps     (White-head bogbutton)</t>
  </si>
  <si>
    <t>Lachnocaulon beyrichianum     (Southern bogbutton)</t>
  </si>
  <si>
    <t>Lachnocaulon digynum     (Pineland bogbutton)</t>
  </si>
  <si>
    <t>Lachnocaulon engleri     (Enler's bogbutton)</t>
  </si>
  <si>
    <t>Lachnocaulon minus     (Small's bogbutton)</t>
  </si>
  <si>
    <t>Lactuca canadensis     (Canada lettuce)</t>
  </si>
  <si>
    <t>Lactuca floridana     (Woodland lettuce)</t>
  </si>
  <si>
    <t>Lactuca graminifolia     (Grassleaf lettuce)</t>
  </si>
  <si>
    <t>Lactuca serriola     (Prickly lettuce)</t>
  </si>
  <si>
    <t>Lagenaria siceraria     (Bottle gourd)</t>
  </si>
  <si>
    <t>Lagerstroemia indica     (Crapemyrtle)</t>
  </si>
  <si>
    <t>Laguncularia racemosa     (White mangrove)</t>
  </si>
  <si>
    <t>Lamium amplexicaule     (Henbit deadnettle)</t>
  </si>
  <si>
    <t>Landoltia punctata     (Dotted duckweed)</t>
  </si>
  <si>
    <t>Lantana camara     (Shrub verbena)</t>
  </si>
  <si>
    <t>Lantana involucrata     (Buttonsage )</t>
  </si>
  <si>
    <t>Lantana montevidensis     (Trailing shrubverbena)</t>
  </si>
  <si>
    <t>Lantana strigocamara     (Shrubverbena)</t>
  </si>
  <si>
    <t>Laportea aestuans     (West indian woodnettle)</t>
  </si>
  <si>
    <t>Laportea canadensis     (Canada wood-nettle)</t>
  </si>
  <si>
    <t>Lasiacia divaricata     (Smallcane)</t>
  </si>
  <si>
    <t>Lathyrus pusillus     (Tiny peavine)</t>
  </si>
  <si>
    <t>Lechea cernua     (Nodding pinweed)</t>
  </si>
  <si>
    <t>Lechea decktertii     (Deckert's pinweed)</t>
  </si>
  <si>
    <t>Lechea divaricata     (Drysand pinweed)</t>
  </si>
  <si>
    <t>Lechea minor     (Thymeleaf pinweed)</t>
  </si>
  <si>
    <t>Lechea mucronata     (Hairy pinweed)</t>
  </si>
  <si>
    <t>Lechea pulchella     (Leggett's pinweed)</t>
  </si>
  <si>
    <t>Lechea sessiliflora     (Pineland pinweed)</t>
  </si>
  <si>
    <t>Lechea torreyi     (Piedmont pinweed)</t>
  </si>
  <si>
    <t>Leersia hexandra     (Southern cut grass)</t>
  </si>
  <si>
    <t>Leersia virginica     (Whitegrass)</t>
  </si>
  <si>
    <t>Leitneria floridana     (Corkwood)</t>
  </si>
  <si>
    <t>Lemna aequinoctialis     (Lesser duckweed)</t>
  </si>
  <si>
    <t>Lemna minor     (Duckweed)</t>
  </si>
  <si>
    <t>Lemna obscura     (Little duckweed)</t>
  </si>
  <si>
    <t>Lemna sp.     (Duckweed)</t>
  </si>
  <si>
    <t>Lemna valdiviana     (Valdivia duckweed)</t>
  </si>
  <si>
    <t>Leonotis nepetifolia     (Lion's-ear)</t>
  </si>
  <si>
    <t>Lepidium didymum     (Lesser swinecress)</t>
  </si>
  <si>
    <t>Lepidium virginicum     (Poorman's pepper)</t>
  </si>
  <si>
    <t>Leptochloa fusca subsp. fascicularis     (Bearded sprangletop)</t>
  </si>
  <si>
    <t>Leptochloa fusca subsp. uninervia     (Mexican sprangletop)</t>
  </si>
  <si>
    <t>Leptochloa spp.     (Sprangle-top)</t>
  </si>
  <si>
    <t>Leptochloa virgata     (Tropic sprangle-top)</t>
  </si>
  <si>
    <t>Lespedeza angustifolia     (Narrowleaf lespedeza)</t>
  </si>
  <si>
    <t>Lespedeza cuneata     (Sericea lespedeza)</t>
  </si>
  <si>
    <t>Lespedeza hirta     (Hairy lespedeza )</t>
  </si>
  <si>
    <t>Lespedeza repens     (Creeping lespedeza)</t>
  </si>
  <si>
    <t>Lespedeza stuevei     (Tall lespedeza)</t>
  </si>
  <si>
    <t>Leucaena leucocephala     (White leadtree)</t>
  </si>
  <si>
    <t>Leucothoe spp.     (Dog-hobble)</t>
  </si>
  <si>
    <t>Liatris aspera     (Tall gayfeather)</t>
  </si>
  <si>
    <t>Liatris chapmanii     (Chapman's gayfeather)</t>
  </si>
  <si>
    <t>Liatris elegans     (Pinkscale gayfeather)</t>
  </si>
  <si>
    <t>Liatris elegantula     (Grassleaf gayfeather)</t>
  </si>
  <si>
    <t>Liatris garberi     (Garber's gayfeather)</t>
  </si>
  <si>
    <t>Liatris gracillis     (Blazing star)</t>
  </si>
  <si>
    <t>Liatris ohlingerae     (Florida gayfeather)</t>
  </si>
  <si>
    <t>Liatris pauciflora     (Fewflower gayfeather)</t>
  </si>
  <si>
    <t>Liatris spicata     (Spiked gayfeather)</t>
  </si>
  <si>
    <t>Liatris tenuifolia     (Shortleaf gayfeather)</t>
  </si>
  <si>
    <t>Ligustrum japonicum     (Japanese privet)</t>
  </si>
  <si>
    <t>Ligustrum lucidum     (Glossy privet)</t>
  </si>
  <si>
    <t>Ligustrum sinense     (Chinese privet)</t>
  </si>
  <si>
    <t>Lilaeopsis carolinensis     (Carolina grasswort)</t>
  </si>
  <si>
    <t>Lilaeopsis chinensis     (Eastern grasswort)</t>
  </si>
  <si>
    <t>Lilaeopsis spp.     (Lilaeopsis)</t>
  </si>
  <si>
    <t>Lilium catesbaei     (Southern red lily)</t>
  </si>
  <si>
    <t>Lilium iridollae     (Panhandle lily)</t>
  </si>
  <si>
    <t>Lilium longiflorum     (Eater Lily)</t>
  </si>
  <si>
    <t>Limnobium spongia     (Frogbit)</t>
  </si>
  <si>
    <t>Limnophila indica     (Indian marshweed)</t>
  </si>
  <si>
    <t>Limnophila sessiliflora     (Asian marshweed)</t>
  </si>
  <si>
    <t>Limnophila spp.     (Marshweed)</t>
  </si>
  <si>
    <t>Limonium carolinianum     (Sea-lavender)</t>
  </si>
  <si>
    <t>Linaria canadensis     (Canadian toadflax)</t>
  </si>
  <si>
    <t>Linaria floridana     (Apalachicola toadflax)</t>
  </si>
  <si>
    <t>Lindera benzoin     (Northern spicebush)</t>
  </si>
  <si>
    <t>Lindera melissifolia     (Southern spicebush)</t>
  </si>
  <si>
    <t>Lindernia crustacea     (Malayan false-pimpernel)</t>
  </si>
  <si>
    <t>Lindernia dubia     (Moistbank pimpernel)</t>
  </si>
  <si>
    <t>Lindernia grandiflora     (Savannah false pimpernel)</t>
  </si>
  <si>
    <t>Lindernia monticola     (Piedmont false pimpernel)</t>
  </si>
  <si>
    <t>Lindernia spp.     (False-pimpernel)</t>
  </si>
  <si>
    <t>Linum carteri     (Carter's flax)</t>
  </si>
  <si>
    <t>Linum floridanum     (Florida yellow flax)</t>
  </si>
  <si>
    <t>Linum medium     (Stiff yellow flax)</t>
  </si>
  <si>
    <t>Linum striatum     (Ridged yellow flax)</t>
  </si>
  <si>
    <t>Linum usitatissimum     (Common flax)</t>
  </si>
  <si>
    <t>Linum westii     (West's flax)</t>
  </si>
  <si>
    <t>Liparis elata     (Tall liparis)</t>
  </si>
  <si>
    <t>Liparis nervosa     (Pantropical widelip orchid)</t>
  </si>
  <si>
    <t>Lipocarpha aristulata     (Awned halfchaff sedge)</t>
  </si>
  <si>
    <t>Lipocarpha maculata     (American halfchaff sedge)</t>
  </si>
  <si>
    <t>Lipocarpha micrantha     (Smallflower halfchaff sedge)</t>
  </si>
  <si>
    <t>Lipocarpha spp.     (Lipocarpha)</t>
  </si>
  <si>
    <t>Liquidambar styraciflua     (Sweet gum)</t>
  </si>
  <si>
    <t>Liriodendron tulipifera     (Tulip tree)</t>
  </si>
  <si>
    <t>Listera australis     (Southern twayblade)</t>
  </si>
  <si>
    <t>Listera spp.     (Twayblade)</t>
  </si>
  <si>
    <t>Lithospermum incisum     (Narrowleaf gromwell)</t>
  </si>
  <si>
    <t>Lithospermum tuberosum     (Tuberous gromwell)</t>
  </si>
  <si>
    <t>Lithospermum virginianum     (False gromwell)</t>
  </si>
  <si>
    <t>Litsea aestivalis     (Pondspice)</t>
  </si>
  <si>
    <t>Livistona chinensis     (Chinese fan palm)</t>
  </si>
  <si>
    <t>Lobelia amoena     (Southern lobelia)</t>
  </si>
  <si>
    <t>Lobelia cardinalis     (Cardinal flower)</t>
  </si>
  <si>
    <t>Lobelia feayana     (Bay lobelia)</t>
  </si>
  <si>
    <t>Lobelia floridana     (Florida lobelia)</t>
  </si>
  <si>
    <t>Lobelia glandulosa     (Glade lobelia)</t>
  </si>
  <si>
    <t>Lobelia homophylla     (Pineland lobelia)</t>
  </si>
  <si>
    <t>Lobelia paludosa     (White lobelia)</t>
  </si>
  <si>
    <t>Lobelia puberula     (Downy lobelia)</t>
  </si>
  <si>
    <t>Lobelia spp.     (Lobelia)</t>
  </si>
  <si>
    <t>Lobularia maritima     (Seaside lobularia)</t>
  </si>
  <si>
    <t>Lolium arundinaceum     (Tall fescue)</t>
  </si>
  <si>
    <t>Lolium perenne     (Italian ryegrass)</t>
  </si>
  <si>
    <t>Lonicera japonica     (Japanese Honeysuckle)</t>
  </si>
  <si>
    <t>Lonicera sempervirens     (Coral honeysuckle)</t>
  </si>
  <si>
    <t>Lophiola americana     (Golden crest)</t>
  </si>
  <si>
    <t>Lotus pedunculatus     (Birdsfoot trefoil)</t>
  </si>
  <si>
    <t>Ludwigia alata     (Winged primrosewillow)</t>
  </si>
  <si>
    <t>Ludwigia alternifolia     (Bushy seedbox)</t>
  </si>
  <si>
    <t>Ludwigia arcuata     (Piedmont primrosewillow)</t>
  </si>
  <si>
    <t>Ludwigia curtissii     (Curtiss' primrosewillow)</t>
  </si>
  <si>
    <t>Ludwigia decurrens     (Winged water primrose)</t>
  </si>
  <si>
    <t>Ludwigia erecta     (Yerba de jicotea)</t>
  </si>
  <si>
    <t>Ludwigia grandiflora     (Largeflower primrosewillow )</t>
  </si>
  <si>
    <t>Ludwigia hirtella     (Hairy seedbox)</t>
  </si>
  <si>
    <t>Ludwigia lanceolata     (Lanceleaf primrosewillow)</t>
  </si>
  <si>
    <t>Ludwigia leptocarpa     (Anglestem primrosewillow)</t>
  </si>
  <si>
    <t>Ludwigia linearis     (Narrowleaf primrosewillow)</t>
  </si>
  <si>
    <t>Ludwigia linifolia     (Southeastern primrosewillow)</t>
  </si>
  <si>
    <t>Ludwigia longifolia     (Longleaf primrosewillow)</t>
  </si>
  <si>
    <t>Ludwigia maritima     (Seaside seedbox)</t>
  </si>
  <si>
    <t>Ludwigia microcarpa     (Smallfruit primrosewillow)</t>
  </si>
  <si>
    <t>Ludwigia octovalvis     (Primrose willow)</t>
  </si>
  <si>
    <t>Ludwigia palustris     (Marsh seedbox)</t>
  </si>
  <si>
    <t>Ludwigia peploides     (Floating primrosewillow)</t>
  </si>
  <si>
    <t>Ludwigia peruviana     (Primrose willow)</t>
  </si>
  <si>
    <t>Ludwigia pilosa     (Primrose willow)</t>
  </si>
  <si>
    <t>Ludwigia repens     (Red ludwigia)</t>
  </si>
  <si>
    <t>Ludwigia sphaerocarpa     (Globefruit primrosewillow)</t>
  </si>
  <si>
    <t>Ludwigia suffruticosa     (Primrose willow)</t>
  </si>
  <si>
    <t>Ludwigia virgata     (Savanna seedbox)</t>
  </si>
  <si>
    <t>Lupinis angustifolius     (Narrowleaf lupine)</t>
  </si>
  <si>
    <t>Lupinus diffusus     (Skyblue lupine)</t>
  </si>
  <si>
    <t>Lupinus perennis     (Blue pea)</t>
  </si>
  <si>
    <t>Lupinus texensis     (Texas bluebonnet)</t>
  </si>
  <si>
    <t>Lupinus villosus     (Lady lupine)</t>
  </si>
  <si>
    <t>Luziola fluitans     (Southern watergrass)</t>
  </si>
  <si>
    <t>Lycium carolinianum     (Christmas berry)</t>
  </si>
  <si>
    <t>Lycopodiella alopecuroides     (Foxtail club-moss)</t>
  </si>
  <si>
    <t>Lycopodiella appressa     (Southern club-moss)</t>
  </si>
  <si>
    <t>Lycopodiella caroliniana     (Slender club-moss)</t>
  </si>
  <si>
    <t>Lycopodiella cernua     (Nodding club-moss)</t>
  </si>
  <si>
    <t>Lycopodiella prostrata     (Feather-stem club-moss)</t>
  </si>
  <si>
    <t>Lycopodiella x brucei     (Bruce's club-moss)</t>
  </si>
  <si>
    <t>Lycopodiella x copelandii     (Copeland's club-moss)</t>
  </si>
  <si>
    <t>Lycopodium sp.     (Clubmoss)</t>
  </si>
  <si>
    <t>Lycopus amplectens     (Clasping waterhorehound)</t>
  </si>
  <si>
    <t>Lycopus rubellus     (Bugleweed)</t>
  </si>
  <si>
    <t>Lycopus virginicus     (Virginia waterhorehound)</t>
  </si>
  <si>
    <t>Lycoris radiata     (Magic lily)</t>
  </si>
  <si>
    <t>Lygodesmia aphylla     (Rose-rush)</t>
  </si>
  <si>
    <t>Lygodium japonicum     (Japanese climbing fern)</t>
  </si>
  <si>
    <t>Lygodium microphyllum     (Small-leaf climbing fern)</t>
  </si>
  <si>
    <t>Lyonia ferruginea     (Rusty lyonia)</t>
  </si>
  <si>
    <t>Lyonia fruticosa     (Fetterbush)</t>
  </si>
  <si>
    <t>Lyonia ligustina      (Maleberry)</t>
  </si>
  <si>
    <t>Lyonia lucida     (Shiny lyonia)</t>
  </si>
  <si>
    <t>Lyonia mariana     (Staggerbush)</t>
  </si>
  <si>
    <t>Lysimachia spp.     (Loosestrife)</t>
  </si>
  <si>
    <t>Lythrum alatum     (Winged loosestrife)</t>
  </si>
  <si>
    <t>Lythrum curtissii     (Curtiss' loosestrife)</t>
  </si>
  <si>
    <t>Lythrum flagellare     (Florida loosestrife)</t>
  </si>
  <si>
    <t>Lythrum lineare     (Marsh loosestrife)</t>
  </si>
  <si>
    <t>Macbridea spp.     (Birds-in-a-nest)</t>
  </si>
  <si>
    <t>Maclura pomifera      (Osage orange)</t>
  </si>
  <si>
    <t>Macranthera flammea     (Flamethrower)</t>
  </si>
  <si>
    <t>Macroptilium atropurpureum     (Purple bushbean)</t>
  </si>
  <si>
    <t>Macroptilium lathyroides     (Wild bushbean)</t>
  </si>
  <si>
    <t>Macrothelypteris torresiana     (Mariana maiden fern)</t>
  </si>
  <si>
    <t>Magnolia grandiflora     (Southern magnolia)</t>
  </si>
  <si>
    <t>Magnolia virginiana     (Sweet bay)</t>
  </si>
  <si>
    <t>Malaxis spicata     (Florida adder's-mouth)</t>
  </si>
  <si>
    <t>Malaxis unifolia      (Green addersmouth orchid)</t>
  </si>
  <si>
    <t>Malpighia coccigera     (Miniature holly)</t>
  </si>
  <si>
    <t>Malva parviflora     (Cheeseweed mallow)</t>
  </si>
  <si>
    <t>Malvastrum corchorifolium     (False mallow)</t>
  </si>
  <si>
    <t>Malvastrum coromandulianum     (Threelobe false mallow)</t>
  </si>
  <si>
    <t>Malvaviscus arboreus     (Texas waxmallow)</t>
  </si>
  <si>
    <t>Malvaviscus penduliflorus     (Mazapan)</t>
  </si>
  <si>
    <t>Manfreda virginica     (False aloe)</t>
  </si>
  <si>
    <t>Mangifera indica     (Mango)</t>
  </si>
  <si>
    <t>Manihot grahamii     (Graham's cassava)</t>
  </si>
  <si>
    <t>Manisuris cylindrical     (Pitted jointgrass)</t>
  </si>
  <si>
    <t>Manisuris spp.     (Jointgrass)</t>
  </si>
  <si>
    <t>Marshallia graminifolia     (Grassleaf Barbara's buttons)</t>
  </si>
  <si>
    <t>Marshallia tenuifolia     (Slim-leaf Barbara's buttons)</t>
  </si>
  <si>
    <t>Marsilea minuta     (Small water-clover)</t>
  </si>
  <si>
    <t>Marsilea oligospora     (Pacific water-clover)</t>
  </si>
  <si>
    <t>Marsilea vestita     (Hairy water-clover)</t>
  </si>
  <si>
    <t>Matelea floridana     (Florida milkvine)</t>
  </si>
  <si>
    <t>Matelea pubiflora     (Trailing milkvine)</t>
  </si>
  <si>
    <t>Maxillaria crassifolia     (Hidden orchid)</t>
  </si>
  <si>
    <t>Mayaca fluviatilis     (Bog moss)</t>
  </si>
  <si>
    <t>Maytenus phyllanthoides     (Florida mayten)</t>
  </si>
  <si>
    <t>Mazus pumilus     (Japanese mazus)</t>
  </si>
  <si>
    <t>Mecardonia acuminata     (Axilflower)</t>
  </si>
  <si>
    <t>Mecardonia procumbens     (Baby jumpup)</t>
  </si>
  <si>
    <t>Mecardonia spp.     (Mecardonia)</t>
  </si>
  <si>
    <t>Medicago lupulina     (Black medick)</t>
  </si>
  <si>
    <t>Medicago polymorpha     (Burr clover)</t>
  </si>
  <si>
    <t>Medicago sativa     (Alfalfa)</t>
  </si>
  <si>
    <t>Melaleuca linariifolia     (Cajeput tree)</t>
  </si>
  <si>
    <t>Melaleuca quinquenervia     (Punk tree)</t>
  </si>
  <si>
    <t>Melaleuca viminalis     (Bottlebrush)</t>
  </si>
  <si>
    <t>Melanthium virginicum     (Virginia bunchflower)</t>
  </si>
  <si>
    <t>Melia azedarach     (Chinaberrytree)</t>
  </si>
  <si>
    <t>Melica mutica     (Twoflower melicgrass)</t>
  </si>
  <si>
    <t>Melilotus albus     (White sweetclover)</t>
  </si>
  <si>
    <t>Melilotus indicus     (Indian sweetclover)</t>
  </si>
  <si>
    <t>Melinis minutiflora     (Molassesgrass)</t>
  </si>
  <si>
    <t>Melinis repens     (Rose natalgrass)</t>
  </si>
  <si>
    <t>Melochia corchorifolia     (Chocolate-weed)</t>
  </si>
  <si>
    <t>Melochia spicata     (Bretonica peluda)</t>
  </si>
  <si>
    <t>Melothria pendula     (Creeping cucumber)</t>
  </si>
  <si>
    <t>Mentha suaveolens     (Applemint)</t>
  </si>
  <si>
    <t>Mentzelia floridana     (Poorman's patch)</t>
  </si>
  <si>
    <t>Merremia dissecta     (Noyau vine)</t>
  </si>
  <si>
    <t>Mesadenus lucayanus     (Florida Keys ladiestresses)</t>
  </si>
  <si>
    <t>Mesosphaerum pectinatum     (Comb bushmint)</t>
  </si>
  <si>
    <t>Metopium toxiferum     (Poison wood)</t>
  </si>
  <si>
    <t>Micranthemum glomeratum     (Manatee mudflower)</t>
  </si>
  <si>
    <t>Micranthemum spp.     (Baby tears)</t>
  </si>
  <si>
    <t>Micranthemum umbros     (Shade mudflower)</t>
  </si>
  <si>
    <t>Mikania cordifolia      (Florida keys hempvine)</t>
  </si>
  <si>
    <t>Mikania scandens     (Hempweed)</t>
  </si>
  <si>
    <t>Mimosa pigra     (Black mimosa)</t>
  </si>
  <si>
    <t>Mimosa quadrivalvis     (Sensitive brier)</t>
  </si>
  <si>
    <t>Mimosa strigillosa     (Herbaceous Mimosa)</t>
  </si>
  <si>
    <t>Mimulus alatus     (Monkey-flower)</t>
  </si>
  <si>
    <t>Mirabilis jalapa     (Four-o'clock)</t>
  </si>
  <si>
    <t>Mitchella repens     (Partridgeberry )</t>
  </si>
  <si>
    <t>Mitracarpus hirtus     (Tropical girdlepod)</t>
  </si>
  <si>
    <t>Mitreola angustifolia      (Narrowleaf hornpod)</t>
  </si>
  <si>
    <t>Mitreola petiolata     (Lax hornpod)</t>
  </si>
  <si>
    <t>Mitreola sessilifolia     (Swamp hornpod)</t>
  </si>
  <si>
    <t>Mitreola spp.     (Hornpod)</t>
  </si>
  <si>
    <t>Mlanthera nivea     (Squarestem)</t>
  </si>
  <si>
    <t>Modiola caroliniana     (Carolina bristlemallow)</t>
  </si>
  <si>
    <t>Mollugo verticillata     (Indian chickweed)</t>
  </si>
  <si>
    <t>Momordica charantia     (Balsamspear)</t>
  </si>
  <si>
    <t>Monanthochloe littoralis     (Keygrass)</t>
  </si>
  <si>
    <t>Monarda punctata     (Spotted beebalm)</t>
  </si>
  <si>
    <t>Monotropa uniflora     (Indianpipe)</t>
  </si>
  <si>
    <t>Monotropsis reynoldsiae     (Pigmypipes)</t>
  </si>
  <si>
    <t>Morella caroliniensis     (Evergreen bayberry)</t>
  </si>
  <si>
    <t>Morella cerifera     (Wax myrtle)</t>
  </si>
  <si>
    <t>Morinda royoc     (Redgal)</t>
  </si>
  <si>
    <t>Morus alba     (White mulberry)</t>
  </si>
  <si>
    <t>Morus rubra     (Red mulberry)</t>
  </si>
  <si>
    <t>Muhlenbergia capillaris     (Muhly grass)</t>
  </si>
  <si>
    <t>Muhlenbergia expansa     (Cutover muhly)</t>
  </si>
  <si>
    <t>Muhlenbergia schreberi     (Nimblewill)</t>
  </si>
  <si>
    <t>Murdannia keisak     (Marsh dewflower)</t>
  </si>
  <si>
    <t>Murdannia nudiflora     (Nakedstem dewflower)</t>
  </si>
  <si>
    <t>Murdannia spirata     (Asiatic dewflower)</t>
  </si>
  <si>
    <t>Murdannia spp.     (Dewflower)</t>
  </si>
  <si>
    <t>Musa acuminata     (Dwarf banana)</t>
  </si>
  <si>
    <t>Musa paradisiaca     (Common banana)</t>
  </si>
  <si>
    <t>Myosurus minimus     (Tiny mouse-tail)</t>
  </si>
  <si>
    <t>Myrcianthes fragrans     (Twinberry, Simpson's stopper)</t>
  </si>
  <si>
    <t>Myrica cerifera     (Wax myrtle)</t>
  </si>
  <si>
    <t>Myrica heterophylia     (Evergreen bayberry)</t>
  </si>
  <si>
    <t>Myrica inodora     (Odorless bayberry)</t>
  </si>
  <si>
    <t>Myriophyllum aquaticum     (Parrot feather watermilfoil)</t>
  </si>
  <si>
    <t>Myriophyllum heterophyllum     (Twoleaf watermilfoil)</t>
  </si>
  <si>
    <t>Myriophyllum laxum     (Loose watermilfoil)</t>
  </si>
  <si>
    <t>Myriophyllum pinnatum     (Cutleaf watermilfoil)</t>
  </si>
  <si>
    <t>Myriophyllum spicatum     (Eurasian watermilfoil)</t>
  </si>
  <si>
    <t>Myriopus volubilis     (Twining soldierbush)</t>
  </si>
  <si>
    <t>Myrsine cubana     (Colicwood)</t>
  </si>
  <si>
    <t>Myrsine guianensis     (Guiana myrsine)</t>
  </si>
  <si>
    <t>Nabulus autumnalis     (Slender rattlesnakeroot)</t>
  </si>
  <si>
    <t>Nabulus serpentaria     (Cankerweed)</t>
  </si>
  <si>
    <t>Najas filifolia     (Needleleaf waternymph)</t>
  </si>
  <si>
    <t>Najas guadalupensis     (Southern waternymph)</t>
  </si>
  <si>
    <t>Najas marina     (Spiny waternymph)</t>
  </si>
  <si>
    <t>Nandina domestica     (Sacred bamboo)</t>
  </si>
  <si>
    <t>Nasturtium floridanum     (Florida watercress)</t>
  </si>
  <si>
    <t>Nasturtium officinale     (European watercress)</t>
  </si>
  <si>
    <t>Nasturtium spp.     (Water-cress)</t>
  </si>
  <si>
    <t>Nelumbo lutea     (American lotus)</t>
  </si>
  <si>
    <t>Nelumbo nucifera     (Sacred lotus)</t>
  </si>
  <si>
    <t>Nelumbo spp.     (Water-lotus)</t>
  </si>
  <si>
    <t>Nemastylis floridana     (Fall-flowering pleatleaf)</t>
  </si>
  <si>
    <t>Nemophila aphylia     (Small-flower baby-blue-eyes)</t>
  </si>
  <si>
    <t>Nephrolepis averyi     (Avery's sword fern)</t>
  </si>
  <si>
    <t>Nephrolepis biserrata     (Giant sword fern)</t>
  </si>
  <si>
    <t>Nephrolepis brownii     (Asian sword fern)</t>
  </si>
  <si>
    <t>Nephrolepis cordifolia     (Tuberous sword fern)</t>
  </si>
  <si>
    <t>Nephrolepis exaltata     (Sword fern)</t>
  </si>
  <si>
    <t>Nephrolepis spp.     (Sword ferns)</t>
  </si>
  <si>
    <t>Neptunia pubescens     (Tropical puff)</t>
  </si>
  <si>
    <t>Nerium oleander     (Oleander)</t>
  </si>
  <si>
    <t>Neyraudia reynaudiana     (Silk reed)</t>
  </si>
  <si>
    <t>Nolina atopocarpa     (Florida beargrass)</t>
  </si>
  <si>
    <t>Nolina brittoniana     (Britton's beargrass)</t>
  </si>
  <si>
    <t>Noronhia emarginata     (Madagascar olive)</t>
  </si>
  <si>
    <t>Nothoscordum bivalve     (Crowpoison)</t>
  </si>
  <si>
    <t>Nuphar advena     (Spatterdock)</t>
  </si>
  <si>
    <t>Nuphar luteum     (Spatter-dock, Yellow cow lily)</t>
  </si>
  <si>
    <t>Nymphaea capensis     (Cape blue waterlily)</t>
  </si>
  <si>
    <t>Nymphaea elegans     (Tropical royalblue waterlily)</t>
  </si>
  <si>
    <t>Nymphaea jamesoniana     (Jameson's waterlily)</t>
  </si>
  <si>
    <t>Nymphaea mexicana     (Yellow waterlily)</t>
  </si>
  <si>
    <t>Nymphaea odorata     (Fragrant waterlily)</t>
  </si>
  <si>
    <t>Nymphaea spp.     (Water-lily)</t>
  </si>
  <si>
    <t>Nymphoides aquatica     (Big floatingheart)</t>
  </si>
  <si>
    <t>Nymphoides cristata     (Crested floatingheart)</t>
  </si>
  <si>
    <t>Nymphoides peltata     (Yellow floatingheart)</t>
  </si>
  <si>
    <t>Nymphoides spp.     (Floating hearts)</t>
  </si>
  <si>
    <t>Nyssa aquatica     (Water tupelo)</t>
  </si>
  <si>
    <t>Nyssa ogeche     (Ogeechee tupelo)</t>
  </si>
  <si>
    <t>Nyssa sylvatica var. biflora     (Swamp tupelo, black gum)</t>
  </si>
  <si>
    <t>Oclemena reticulata     (Whitetop aster)</t>
  </si>
  <si>
    <t>Odontonema cuspidatum     (Firespike)</t>
  </si>
  <si>
    <t>Oeceoclades maculata     (Monk orchid)</t>
  </si>
  <si>
    <t>Oenothera biennis     (Common eveningprimrose)</t>
  </si>
  <si>
    <t>Oenothera curtissii     (Curtiss' eveningprimrose)</t>
  </si>
  <si>
    <t>Oenothera drommondii     (Beach eveningprimrose)</t>
  </si>
  <si>
    <t>Oenothera fruticosa     (Sundrops)</t>
  </si>
  <si>
    <t>Oenothera grandiflora     (Largeflower eveningprimrose)</t>
  </si>
  <si>
    <t>Oenothera humifusa     (Seabeach eveningprimrose)</t>
  </si>
  <si>
    <t>Oenothera laciniata     (Cutleaf eveningprimrose)</t>
  </si>
  <si>
    <t>Oenothera simulans     (Southern beeblossom)</t>
  </si>
  <si>
    <t>Oenothera sinuosa     (Wavyleaf beeblossom)</t>
  </si>
  <si>
    <t>Oenothera speciosa     (Pinkladies)</t>
  </si>
  <si>
    <t>Oldenlandia corymbosa     (Flattop mille graines)</t>
  </si>
  <si>
    <t>Oldenlandia spp.     (Water bluets)</t>
  </si>
  <si>
    <t>Oldenlandia uniflora     (Clustered mille graines)</t>
  </si>
  <si>
    <t>Oncoba spinosa     (Fried-egg tree)</t>
  </si>
  <si>
    <t>Onoclea sensibilis     (Sensitive fern)</t>
  </si>
  <si>
    <t>Ophioglossum crotalophoroides     (Bulbous adder's-tongue)</t>
  </si>
  <si>
    <t>Ophioglossum engelmannii     (Limestone adder's-tongue)</t>
  </si>
  <si>
    <t>Ophioglossum nudicaule     (Slender adder's-tongue)</t>
  </si>
  <si>
    <t>Ophioglossum palmatum     (Hand fern)</t>
  </si>
  <si>
    <t>Ophioglossum petiolatum      (Stalked adder's-tongue)</t>
  </si>
  <si>
    <t>Oplismenus burmannii     (Burmann's basketgrass)</t>
  </si>
  <si>
    <t>Oplismenus hirtellus     (Woodsgrass)</t>
  </si>
  <si>
    <t>Oplismenus setarius     (Woods grass)</t>
  </si>
  <si>
    <t>Opuntia cochenillifera     (Cochineal cactus)</t>
  </si>
  <si>
    <t>Opuntia humifusa     (Prickley-pear cactus)</t>
  </si>
  <si>
    <t>Opuntia pusilla     (Cockspur pricklypear)</t>
  </si>
  <si>
    <t>Opuntia stricta     (Erect pricklypear)</t>
  </si>
  <si>
    <t>Orbexilum lupinellus     (Piedmont leatherroot)</t>
  </si>
  <si>
    <t>Orbexilum pedunculatum     (Sampson's snakeroot)</t>
  </si>
  <si>
    <t>Orbexilum virgatum     (Pineland leatherroot)</t>
  </si>
  <si>
    <t>Orobanche minor     (Hellroot)</t>
  </si>
  <si>
    <t>Orontium aquaticum     (Golden club)</t>
  </si>
  <si>
    <t>Orthosia scoparia     (Leafless swallowwort)</t>
  </si>
  <si>
    <t>Oryza sativa     (Cultivated rice)</t>
  </si>
  <si>
    <t>Osmanthus americana     (Wild olive)</t>
  </si>
  <si>
    <t>Osmunda cinnamomea     (Cinnamon fern)</t>
  </si>
  <si>
    <t>Osmunda regalis     (Royal fern)</t>
  </si>
  <si>
    <t>Ostrya virginiana     (Eastern hophornbeam)</t>
  </si>
  <si>
    <t>Oxalis articulata     (Windowbox woodsorrel)</t>
  </si>
  <si>
    <t>Oxalis corniculata     (Common yellow woodsorrel)</t>
  </si>
  <si>
    <t>Oxalis debilis     (Pink woodsorrel)</t>
  </si>
  <si>
    <t>Oxalis intermedia     (Broadleaf woodsorrel)</t>
  </si>
  <si>
    <t>Oxypolis spp.     (Water drop-wort)</t>
  </si>
  <si>
    <t>Pachyrhizus erosus     (Yam bean)</t>
  </si>
  <si>
    <t>Packera glabella     (Butterweed)</t>
  </si>
  <si>
    <t>Paederia foetida     (Skunkvine)</t>
  </si>
  <si>
    <t>Palafoxia feayi     (Feay's palafox)</t>
  </si>
  <si>
    <t>Palafoxia integrifolia     (Coastalplain palafox)</t>
  </si>
  <si>
    <t>Panicum abscissum     (Cut-throat grass)</t>
  </si>
  <si>
    <t>Panicum amarum     (Bitter panicgrass)</t>
  </si>
  <si>
    <t>Panicum anceps     (Beaked panicum)</t>
  </si>
  <si>
    <t>Panicum commutatum     (Variable panic gras)</t>
  </si>
  <si>
    <t>Panicum dichotomiflorum     (Fall panicum)</t>
  </si>
  <si>
    <t>Panicum dichotomum     (Panicum)</t>
  </si>
  <si>
    <t>Panicum ensifolium     (Sword-leaf Panic Grass)</t>
  </si>
  <si>
    <t>Panicum erectifolium     (Erect-leaf witchgrass)</t>
  </si>
  <si>
    <t>Panicum gymnocarpon     (Savannah panicum)</t>
  </si>
  <si>
    <t>Panicum hemitomon     (Maidencane)</t>
  </si>
  <si>
    <t>Panicum hians     (Gaping panicum)</t>
  </si>
  <si>
    <t>Panicum longifolium     (Tall thin panicum)</t>
  </si>
  <si>
    <t>Panicum maximum     (Guineagrass)</t>
  </si>
  <si>
    <t>Panicum miliaceum     (Broomcorn millet)</t>
  </si>
  <si>
    <t>Panicum pinetorum     (Panicum)</t>
  </si>
  <si>
    <t>Panicum portoricense     (Puerto Rico panic grass)</t>
  </si>
  <si>
    <t>Panicum repens     (Torpedo grass)</t>
  </si>
  <si>
    <t>Panicum rigidulum     (Redtop panicum)</t>
  </si>
  <si>
    <t>Panicum scabriusculum     (Woolly panicum)</t>
  </si>
  <si>
    <t>Panicum scoparium     (Panicum)</t>
  </si>
  <si>
    <t>Panicum spretum     (Panicum)</t>
  </si>
  <si>
    <t>Panicum strigosum     (Panicum)</t>
  </si>
  <si>
    <t>Panicum tenerum     (Bluejoint panicum)</t>
  </si>
  <si>
    <t>Panicum tenue     (Panicum)</t>
  </si>
  <si>
    <t>Panicum verrucosum     (Warty panicum)</t>
  </si>
  <si>
    <t>Panicum virgatum     (Switchgrass)</t>
  </si>
  <si>
    <t>Parietaria floridana     (Florida pellitory)</t>
  </si>
  <si>
    <t>Parietaria praetermissa     (Clustered pellitory)</t>
  </si>
  <si>
    <t>Parietaria spp.     (Pellitory)</t>
  </si>
  <si>
    <t>Parkinsonia aculeata     (Mexican palo verde)</t>
  </si>
  <si>
    <t>Parnassia spp.     (Grass of Parnassus)</t>
  </si>
  <si>
    <t>Paronychia americana     (American nailwort)</t>
  </si>
  <si>
    <t>Paronychia baldwinii     (Baldwin's nailwort)</t>
  </si>
  <si>
    <t>Paronychia chartacea     (Paper nailwort)</t>
  </si>
  <si>
    <t>Paronychia discoveryi     (Florida nailwort)</t>
  </si>
  <si>
    <t>Paronychia herniarioides     (Coastalplain nailwort)</t>
  </si>
  <si>
    <t>Paronychia patula     (Pineland nailwort)</t>
  </si>
  <si>
    <t>Paronychia rugelii     (Rugel's nailwort)</t>
  </si>
  <si>
    <t>Parthenium hysterophorus     (Santa maria feverfew)</t>
  </si>
  <si>
    <t>Parthenocissus quinquefolia     (Virginia creeper)</t>
  </si>
  <si>
    <t>Paspalidium geminatum     (Water panicum)</t>
  </si>
  <si>
    <t>Paspalum acuminatum     (Brook paspalum)</t>
  </si>
  <si>
    <t>Paspalum bifidum     (Pitchfork crowngrass)</t>
  </si>
  <si>
    <t>Paspalum boscianum     (Bull paspalum)</t>
  </si>
  <si>
    <t>Paspalum botterii     (Rustyseed palspalum)</t>
  </si>
  <si>
    <t>Paspalum caespitosum     (Blue crowngrass)</t>
  </si>
  <si>
    <t>Paspalum conjugatum     (Sour paspalum)</t>
  </si>
  <si>
    <t>Paspalum coryphaeum     (Emperor crowngrass)</t>
  </si>
  <si>
    <t>Paspalum dilatatum     (Dallisgrass)</t>
  </si>
  <si>
    <t>Paspalum dissectum     (Mudbank paspalum)</t>
  </si>
  <si>
    <t>Paspalum distichum     (Joint paspalum)</t>
  </si>
  <si>
    <t>Paspalum fimbriatum     (Panama paspalum)</t>
  </si>
  <si>
    <t>Paspalum floridanum     (Florida paspalum)</t>
  </si>
  <si>
    <t>Paspalum laeve     (Field paspalum)</t>
  </si>
  <si>
    <t>Paspalum monostachyum     (Gulf paspalum)</t>
  </si>
  <si>
    <t>Paspalum nicorae     (Brunswickgrass)</t>
  </si>
  <si>
    <t>Paspalum notatum     (Bahiagrass)</t>
  </si>
  <si>
    <t>Paspalum plicatulum     (Brown seed paspalum)</t>
  </si>
  <si>
    <t>Paspalum praecox     (Early paspalum)</t>
  </si>
  <si>
    <t>Paspalum pubiflorum     (Hairy-seed paspalum)</t>
  </si>
  <si>
    <t>Paspalum repens     (Water paspalum)</t>
  </si>
  <si>
    <t>Paspalum setaceum     (Thin paspalum)</t>
  </si>
  <si>
    <t>Paspalum urvillei     (Vaseygrass)</t>
  </si>
  <si>
    <t>Paspalum vaginatum     (Seashore paspalum)</t>
  </si>
  <si>
    <t>Passiflora foetida     (Fetid passionflower)</t>
  </si>
  <si>
    <t>Passiflora incarnata     (Maypop)</t>
  </si>
  <si>
    <t>Passiflora lutea     (Yellow passionflower)</t>
  </si>
  <si>
    <t>Passiflora suberosa     (Corkystem passionflower)</t>
  </si>
  <si>
    <t>Pattalias palustre     (Gulf Coast swallowwort)</t>
  </si>
  <si>
    <t>Pavonia spicata     (Mangrove mallow)</t>
  </si>
  <si>
    <t>Pavonia spinifex     (Gingerbush)</t>
  </si>
  <si>
    <t>Pecluma dispersa     (Widespread polypody)</t>
  </si>
  <si>
    <t>Pecluma plumula     (Plume polypody)</t>
  </si>
  <si>
    <t>Pecluma ptilota     (Comb polypody)</t>
  </si>
  <si>
    <t>Pectis glaucescens     (Sandune cinchweed)</t>
  </si>
  <si>
    <t>Pectis linearifolia     (Florida cinchweed)</t>
  </si>
  <si>
    <t>Pectis prostrata     (Spreading cinchweed)</t>
  </si>
  <si>
    <t>Pediomelum canescens     (Buckroot)</t>
  </si>
  <si>
    <t>Peltandra sagittifolia     (Spoonflower)</t>
  </si>
  <si>
    <t>Peltandra virginica     (Green arum)</t>
  </si>
  <si>
    <t>Peltophorum dubium     (Horsebush)</t>
  </si>
  <si>
    <t>Pennisetum glaucum     (Pearl millet)</t>
  </si>
  <si>
    <t>Pennisetum pedicellatum     (Kyasumagrass)</t>
  </si>
  <si>
    <t>Pennisetum purpureum     (Elephant ear grass )</t>
  </si>
  <si>
    <t>Penstemon australis     (Eustis Lake beardtongue)</t>
  </si>
  <si>
    <t>Penstemon multiflorus     (Manyflower beardtongue)</t>
  </si>
  <si>
    <t>Penthorum sedoides     (Ditch stonecrop)</t>
  </si>
  <si>
    <t>Pentodon pentadrus     (Hall's pentodon)</t>
  </si>
  <si>
    <t>Peperomia humilis     (Low peperomia)</t>
  </si>
  <si>
    <t>Peperomia obtusifolia     (Florida peperomia)</t>
  </si>
  <si>
    <t>Peperomia pellucida      (Pepper-elder)</t>
  </si>
  <si>
    <t>Pereskia aculeata      (Barbados gooseberry)</t>
  </si>
  <si>
    <t>Persea borbonia     (Red bay)</t>
  </si>
  <si>
    <t>Persea palustris     (Swamp bay)</t>
  </si>
  <si>
    <t>Persicaria capitata     (Pinkhead smartweed)</t>
  </si>
  <si>
    <t>Persicaria glabra     (Denseflower knotweed)</t>
  </si>
  <si>
    <t>Persicaria hirsuta     (Hairy smartweed)</t>
  </si>
  <si>
    <t>Persicaria hydropiperoides     (Mild waterpepper)</t>
  </si>
  <si>
    <t>Persicaria lapathifolia     (Curlytop knotweed)</t>
  </si>
  <si>
    <t>Persicaria pensylvanica     (Pennsylvania smartweed)</t>
  </si>
  <si>
    <t>Persicaria punctata     (Dotted smartweed)</t>
  </si>
  <si>
    <t>Persicaria setacea     (Bog smartweed)</t>
  </si>
  <si>
    <t>Persicaria virginiana     (Jumpseed)</t>
  </si>
  <si>
    <t>Petiveria alliacea     (Guinea hen weed)</t>
  </si>
  <si>
    <t>Petunia atkinsiana     (Petunia)</t>
  </si>
  <si>
    <t>Phalaris angusta     (Timothy canarygrass)</t>
  </si>
  <si>
    <t>Phalaris canariensis     (Common canarygrass)</t>
  </si>
  <si>
    <t>Phalaris caroliniana     (Carolina canarygrass)</t>
  </si>
  <si>
    <t>Phalaris spp.     (Canary grass)</t>
  </si>
  <si>
    <t>Phanopyrum gymnocarpon     (Savannah panicum)</t>
  </si>
  <si>
    <t>Pharus lappulaceus     (Creeping leafstalkgrass)</t>
  </si>
  <si>
    <t>Phaseolus polystachios     (Thicket bean)</t>
  </si>
  <si>
    <t>Philoxerus vermicularis     (Silverhead)</t>
  </si>
  <si>
    <t>Phlebodium aureum     (Golden polypody)</t>
  </si>
  <si>
    <t>Phlox drummondii     (Annual phlox)</t>
  </si>
  <si>
    <t>Phlox floridana     (Florida phlox)</t>
  </si>
  <si>
    <t>Phlox nivalis     (Trailing phlox)</t>
  </si>
  <si>
    <t>Phlox pilosa     (Downy phlox)</t>
  </si>
  <si>
    <t>Phoebanthus grandiflorus     (Florida false sunflower)</t>
  </si>
  <si>
    <t>Phoenix reclinata     (Sengal date palm)</t>
  </si>
  <si>
    <t>Phoradendron leucarpum     (Oak mistletoe)</t>
  </si>
  <si>
    <t>Phragmites australis     (Common reed)</t>
  </si>
  <si>
    <t>Phryma leptostachya     (American lopseed)</t>
  </si>
  <si>
    <t>Phyla nodiflora     (turkey tangle frogruit)</t>
  </si>
  <si>
    <t>Phyla spp.     (Frog-fruit)</t>
  </si>
  <si>
    <t>Phyllanthus abnormis     (Drummond's leafflower)</t>
  </si>
  <si>
    <t>Phyllanthus amarus     (Gale-of-wind)</t>
  </si>
  <si>
    <t>Phyllanthus caroliniensis     (Carolina leaf-flower)</t>
  </si>
  <si>
    <t>Phyllanthus liebmannianus     (Florida leaf-flower)</t>
  </si>
  <si>
    <t>Phyllanthus tenellus     (Mascarene Island leafflower)</t>
  </si>
  <si>
    <t>Phyllanthus urinaria     (Water leaf-flower)</t>
  </si>
  <si>
    <t>Physalis angulata     (Cutleaf groundcherry)</t>
  </si>
  <si>
    <t>Physalis angustifolia     (Coastal groundcherry)</t>
  </si>
  <si>
    <t>Physalis arenicola     (Cypresshead groundcherry)</t>
  </si>
  <si>
    <t>Physalis cordata     (Heartleaf groundcherry)</t>
  </si>
  <si>
    <t>Physalis pubescens     (Husk tomato)</t>
  </si>
  <si>
    <t>Physalis walteri     (Walter's groundcherry)</t>
  </si>
  <si>
    <t>Physostegia godfreyi     (Godfrey's dragon-head)</t>
  </si>
  <si>
    <t>Physostegia leptophylla     (Slender-leaf dragon-head)</t>
  </si>
  <si>
    <t>Physostegia purpurea     (Purple dragon-head)</t>
  </si>
  <si>
    <t>Physostegia virginiana     (False dragon-head)</t>
  </si>
  <si>
    <t>Phytolacca americana     (Pokeberry)</t>
  </si>
  <si>
    <t>Pieris phillyreifolia     (Climbing fetter-bush)</t>
  </si>
  <si>
    <t>Pilea fontana     (Lesser clearweed)</t>
  </si>
  <si>
    <t>Pilea microphylla     (Artillery plant)</t>
  </si>
  <si>
    <t>Pilea pumila     (Canadian clearweed)</t>
  </si>
  <si>
    <t>Pilea spp.     (Clearweed)</t>
  </si>
  <si>
    <t>Piloblephis rigida     (Wild pennyroyal)</t>
  </si>
  <si>
    <t>Pinckneya bracteata     (Fever tree)</t>
  </si>
  <si>
    <t>Pinguicula caerulea     (Blueflower butterwort)</t>
  </si>
  <si>
    <t>Pinguicula lutea     (Yellow butterwort)</t>
  </si>
  <si>
    <t>Pinguicula pumila     (Small butterwort)</t>
  </si>
  <si>
    <t>Pinguicula spp.     (Butterwort)</t>
  </si>
  <si>
    <t>Pinus clausa     (Sand pine)</t>
  </si>
  <si>
    <t>Pinus elliottii     (Slash pine)</t>
  </si>
  <si>
    <t>Pinus glabra     (Spruce pine)</t>
  </si>
  <si>
    <t>Pinus palustris     (Longleaf pine)</t>
  </si>
  <si>
    <t>Pinus serotina     (Pond pine)</t>
  </si>
  <si>
    <t>Pinus taeda     (Loblolly pine)</t>
  </si>
  <si>
    <t>Piptochaetium avenaceum     (Blackseed needlegrass)</t>
  </si>
  <si>
    <t>Piptochaetium avenacioides     (Florida needlegrass)</t>
  </si>
  <si>
    <t>Piriqueta caroliniana     (Piriqueta)</t>
  </si>
  <si>
    <t>Pistia stratiotes     (Water-lettuce)</t>
  </si>
  <si>
    <t>Pithecellobium keyense     (Florida Keys Blackbeard)</t>
  </si>
  <si>
    <t>Pithecellobium unguis-cati     (Catclaw Blackbeard)</t>
  </si>
  <si>
    <t>Pityopsis graminifolia     (Grass-leaved aster)</t>
  </si>
  <si>
    <t>Pityrogramma calomelanos     (Silverback Fern)</t>
  </si>
  <si>
    <t>Pityrogramma trifoliata     (Goldenrod fern)</t>
  </si>
  <si>
    <t>Planera aquatica     (Planer tree)</t>
  </si>
  <si>
    <t>Plantago aristata     (Largebracted plantain)</t>
  </si>
  <si>
    <t>Plantago lanceolata     (English plantain)</t>
  </si>
  <si>
    <t>Plantago major     (Common plantain)</t>
  </si>
  <si>
    <t>Plantago sparsiflora     (Pineland plantain)</t>
  </si>
  <si>
    <t>Plantago virginica     (Virginia plantain)</t>
  </si>
  <si>
    <t>Plantago wrightiana     (Wright's plantain)</t>
  </si>
  <si>
    <t>Platanthera blephariglottis     (White fringed orchid)</t>
  </si>
  <si>
    <t>Platanthera chapmanii     (Chapman's fringed orchid)</t>
  </si>
  <si>
    <t>Platanthera ciliaris     (Yellow fringed orchid)</t>
  </si>
  <si>
    <t>Platanthera cristata     (Crested yellow orchid)</t>
  </si>
  <si>
    <t>Platanthera flava     (Southern tubercled orchid)</t>
  </si>
  <si>
    <t>Platanthera integra     (Orange reinorchid)</t>
  </si>
  <si>
    <t>Platanthera nivea     (Snowy orchid)</t>
  </si>
  <si>
    <t>Platanthera spp.     (Fringed orchid)</t>
  </si>
  <si>
    <t>Platanus occidentalis     (Sycamore)</t>
  </si>
  <si>
    <t>Platycladus orientalis     (Oriental arborvitae)</t>
  </si>
  <si>
    <t>Platythelys latifolia     (Jug orchid)</t>
  </si>
  <si>
    <t>Plectranthus parviflorus     (Little spurflower)</t>
  </si>
  <si>
    <t>Pleea tenuifolia     (Rush-feathering)</t>
  </si>
  <si>
    <t>Pleopeltis michauxiana     (Resurrection fern)</t>
  </si>
  <si>
    <t>Pluchea baccharis     (Rosy camphorweed)</t>
  </si>
  <si>
    <t>Pluchea camphorata     (Camphorweed)</t>
  </si>
  <si>
    <t>Pluchea carolinensis     (Cure-for-all)</t>
  </si>
  <si>
    <t>Pluchea foetida     (Stinking camphorweed)</t>
  </si>
  <si>
    <t>Pluchea longifolia     (Camphorweed)</t>
  </si>
  <si>
    <t>Pluchea odorata     (Saltmarsh fleabane)</t>
  </si>
  <si>
    <t>Pluchea rosea     (Fleabane)</t>
  </si>
  <si>
    <t>Pluchea spp.     (Camphor-weed)</t>
  </si>
  <si>
    <t>Plumbago auriculata     (Cape leadwort)</t>
  </si>
  <si>
    <t>Plumbago zeylanica     (Doctorbush)</t>
  </si>
  <si>
    <t>Poa annua     (Annual bluegrass)</t>
  </si>
  <si>
    <t>Poa arachnifera      (Texas bluegrass)</t>
  </si>
  <si>
    <t>Poa pratensis     (Kentucky bluegrass)</t>
  </si>
  <si>
    <t>Podocarpus macrophyllus     (Yew plum pine)</t>
  </si>
  <si>
    <t>Podranea ricasoliana     (Zimbabwe creeper)</t>
  </si>
  <si>
    <t>Pogonia ophioglossoides     (Rose pogonia)</t>
  </si>
  <si>
    <t>Poinsettia cyanthophora     (Paintedleaf)</t>
  </si>
  <si>
    <t>Poinsettia herophylla     (Fiddler's spurge)</t>
  </si>
  <si>
    <t>Polanisia tenuifolia      (Slenderleaf clammyweed)</t>
  </si>
  <si>
    <t>Polycarpaea corymbosa     (Old-man's cap)</t>
  </si>
  <si>
    <t>Polycarpon tetraphyllum     (Fourleaf manyseed)</t>
  </si>
  <si>
    <t>Polygala appendiculata     (Swamp milkwort)</t>
  </si>
  <si>
    <t>Polygala balduinii     (Baldwin's milkwort)</t>
  </si>
  <si>
    <t>Polygala cruciata     (Drumheads)</t>
  </si>
  <si>
    <t>Polygala cymosa     (Tall milkwort)</t>
  </si>
  <si>
    <t>Polygala incarnata     (Procession flower)</t>
  </si>
  <si>
    <t>Polygala leptostachys     (Sandhill milkwort)</t>
  </si>
  <si>
    <t>Polygala lewtonii     (Scrub milkwort)</t>
  </si>
  <si>
    <t>Polygala lutea     (Bachelor's button)</t>
  </si>
  <si>
    <t>Polygala mariana     (Maryland milkwort)</t>
  </si>
  <si>
    <t>Polygala nana     (Candyroot)</t>
  </si>
  <si>
    <t>Polygala polygama     (Racemed milkwort)</t>
  </si>
  <si>
    <t>Polygala ramosa     (Low pinebarren milkwort)</t>
  </si>
  <si>
    <t>Polygala rugellii     (Tall yellow milkwort)</t>
  </si>
  <si>
    <t>Polygala setacea     (Coastalplain milkwort)</t>
  </si>
  <si>
    <t>Polygala spp.     (Milkwort)</t>
  </si>
  <si>
    <t>Polygala verticillata     (Whorled milkwort)</t>
  </si>
  <si>
    <t>Polygonatum biflorum     (Smooth Solomon's seal)</t>
  </si>
  <si>
    <t>Polygonella basiramia     (Florida jointweed)</t>
  </si>
  <si>
    <t>Polygonella ciliata     (Hairy jointweed)</t>
  </si>
  <si>
    <t>Polygonella gracilis     (Tall jointweed)</t>
  </si>
  <si>
    <t>Polygonella myriophylla     (Small's jointweed)</t>
  </si>
  <si>
    <t>Polygonella polygama     (October flower)</t>
  </si>
  <si>
    <t>Polygonella robusta     (Largeflower jointweed)</t>
  </si>
  <si>
    <t>Polygonum argryocoleon     (Silversheath smartweed)</t>
  </si>
  <si>
    <t>Polygonum densiflorum     (Smartweed)</t>
  </si>
  <si>
    <t>Polygonum hirsutum     (Jointweed)</t>
  </si>
  <si>
    <t>Polygonum hydropiperoides     (Water pepper)</t>
  </si>
  <si>
    <t>Polygonum opelousanum     (Jointweed)</t>
  </si>
  <si>
    <t>Polygonum punctatum     (Dotted smartweed)</t>
  </si>
  <si>
    <t>Polygonum spp.     (Smartweed)</t>
  </si>
  <si>
    <t>Polygonum virginianum     (Jumpseed)</t>
  </si>
  <si>
    <t>Polypogon monspeliensis     (Rabbitsfootgrass)</t>
  </si>
  <si>
    <t>Polypogon spp.     (Rabbit-foot grass)</t>
  </si>
  <si>
    <t>Polypremum procumbens     (Rustweed)</t>
  </si>
  <si>
    <t>Polystachya concreta     (Greater yellowspike orchid)</t>
  </si>
  <si>
    <t>Polystichum acrostichoides     (Christmas fern)</t>
  </si>
  <si>
    <t>Polystichum tsus-simense     (Korean rock fern)</t>
  </si>
  <si>
    <t>Poncirus trifoliata     (Hardy orange)</t>
  </si>
  <si>
    <t>Pontederia cordata     (Pickerelweed)</t>
  </si>
  <si>
    <t>Ponthieva racemosa     (Shadow-witch)</t>
  </si>
  <si>
    <t>Populus deltoides     (Eastern cottonwood)</t>
  </si>
  <si>
    <t>Populus heterophylla     (Swamp cottonwood)</t>
  </si>
  <si>
    <t>Portulaca amilis     (Paraguayan purslane)</t>
  </si>
  <si>
    <t>Portulaca grandiflora     (Rose moss)</t>
  </si>
  <si>
    <t>Portulaca oleracea     (Little hogweed)</t>
  </si>
  <si>
    <t>Potamogeton diverisfolius     (Waterthread pondweed)</t>
  </si>
  <si>
    <t>Potamogeton illinoensis     (Illinois pondweed)</t>
  </si>
  <si>
    <t>Potamogeton perfoliatus     (Claspingleaf pondweed)</t>
  </si>
  <si>
    <t>Potamogeton pusillus     (Small pondweed)</t>
  </si>
  <si>
    <t>Potulaca pilosa     (Pink purslane)</t>
  </si>
  <si>
    <t>Pouzolzia zeylanica     (Pouzolz's bush)</t>
  </si>
  <si>
    <t>Proserpinaca palustris     (Marsh mermaidweed)</t>
  </si>
  <si>
    <t>Proserpinaca pectinata     (Combleaf mermaidweed)</t>
  </si>
  <si>
    <t>Proserpinaca spp.     (Mermaid-weed)</t>
  </si>
  <si>
    <t>Prunus americana     (American plum)</t>
  </si>
  <si>
    <t>Prunus angustifolia     (Chickasaw plum)</t>
  </si>
  <si>
    <t>Prunus caroliniana     (Laurel cherry)</t>
  </si>
  <si>
    <t>Prunus geniculata     (Scrub plum)</t>
  </si>
  <si>
    <t>Prunus persica      (Peach)</t>
  </si>
  <si>
    <t>Prunus serotina     (Wild black cherry)</t>
  </si>
  <si>
    <t>Prunus sp.     (Cherry)</t>
  </si>
  <si>
    <t>Prunus umbellata     (Flatwoods plum)</t>
  </si>
  <si>
    <t>Pseudelephantopus spicatus     (Dog's-tongue)</t>
  </si>
  <si>
    <t>Pseudognaphalium obtusifolium     (Rabbit tobacco)</t>
  </si>
  <si>
    <t>Pseudogynoxys chenopodioides     (Mexican flamevine)</t>
  </si>
  <si>
    <t>Psidium cattleianum     (Strawberry guava)</t>
  </si>
  <si>
    <t>Psidium guajava     (Guava)</t>
  </si>
  <si>
    <t>Psilocarya spp.     (Baldrush)</t>
  </si>
  <si>
    <t>Psilotum nudum     (Whisk-fern)</t>
  </si>
  <si>
    <t>Psychotria nervosa     (Wild coffee)</t>
  </si>
  <si>
    <t>Psychotria sulzneri     (Shortleaf wild coffee)</t>
  </si>
  <si>
    <t>Ptelea trifoliata     (Common hoptree)</t>
  </si>
  <si>
    <t>Pteridium aquilinum     (Bracken fern)</t>
  </si>
  <si>
    <t>Pteris cretica     (Cretan brake)</t>
  </si>
  <si>
    <t>Pteris multifida     (Spider brake)</t>
  </si>
  <si>
    <t>Pteris tripartita     (Giant brake)</t>
  </si>
  <si>
    <t>Pteris vittata     (Chinese ladder brake)</t>
  </si>
  <si>
    <t>Pterocaulon pycnostachyum     (Blackroot)</t>
  </si>
  <si>
    <t>Pteroglossaspis ecristata     (Giant orchid)</t>
  </si>
  <si>
    <t>Ptilimnium capillaceum     (Mock bishop's weed)</t>
  </si>
  <si>
    <t>Pueraria montana     (Kudzu)</t>
  </si>
  <si>
    <t>Pycnanthemum floridanum     (Florida mountainmint)</t>
  </si>
  <si>
    <t>Pycnanthemum nudum     (Coastal-plain mountain-mint)</t>
  </si>
  <si>
    <t>Pyracantha koidsumii     (Formosa firethorn)</t>
  </si>
  <si>
    <t>Pyrostegia venusta     (Flamevine)</t>
  </si>
  <si>
    <t>Pyrrhopappus carolinianus     (Carolina desertchicory)</t>
  </si>
  <si>
    <t>Pyrus communis     (Pear)</t>
  </si>
  <si>
    <t>Quadrella jamaicensis     (Jamaican capertree)</t>
  </si>
  <si>
    <t>Quercus  inopina     (Scrub oak)</t>
  </si>
  <si>
    <t>Quercus austrina     (Bastard white oak)</t>
  </si>
  <si>
    <t>Quercus chapmanii     (Champman's oak)</t>
  </si>
  <si>
    <t>Quercus falcata     (Spanish oak)</t>
  </si>
  <si>
    <t>Quercus geminata     (Sand live oak)</t>
  </si>
  <si>
    <t>Quercus hemisphaerica     (Laurel oak)</t>
  </si>
  <si>
    <t>Quercus incana     (Bluejack oak)</t>
  </si>
  <si>
    <t>Quercus laevis     (Turkey oak)</t>
  </si>
  <si>
    <t>Quercus laurifolia     (Laurel oak)</t>
  </si>
  <si>
    <t>Quercus lyrata     (Overcup oak)</t>
  </si>
  <si>
    <t>Quercus margarettae     (Sand post oak)</t>
  </si>
  <si>
    <t>Quercus michauxii     (Swamp chestnut oak)</t>
  </si>
  <si>
    <t>Quercus minima     (Dwarf live oak)</t>
  </si>
  <si>
    <t>Quercus myrtifolia     (Myrtle oak)</t>
  </si>
  <si>
    <t>Quercus nigra     (Water oak)</t>
  </si>
  <si>
    <t>Quercus pagoda     (Cherry-bark oak)</t>
  </si>
  <si>
    <t>Quercus phellos     (Willow oak)</t>
  </si>
  <si>
    <t>Quercus pumila     (Running oak)</t>
  </si>
  <si>
    <t>Quercus shumardii     (Shumard's oak)</t>
  </si>
  <si>
    <t>Quercus stellata     (Post oak)</t>
  </si>
  <si>
    <t>Quercus virginiana     (Live oak)</t>
  </si>
  <si>
    <t>Ranunculus hispidus     (Bristly buttercup)</t>
  </si>
  <si>
    <t>Ranunculus muricatus     (Spinyfruit buttercup)</t>
  </si>
  <si>
    <t>Ranunculus platensis     (Prairie buttercup)</t>
  </si>
  <si>
    <t>Ranunculus pusillus     (Low spearwort)</t>
  </si>
  <si>
    <t>Ranunculus sardous     (Hairy buttercup)</t>
  </si>
  <si>
    <t>Ranunculus sceleratus     (Cursed crowfoot)</t>
  </si>
  <si>
    <t>Ranunculus spp.     (Butter-cup)</t>
  </si>
  <si>
    <t>Ranunculus trilobus     (Threelobe buttercup)</t>
  </si>
  <si>
    <t>Raphanus raphanistrum     (Wild radish)</t>
  </si>
  <si>
    <t>Raphanus sativus     (Garden radish)</t>
  </si>
  <si>
    <t>Rayjacksonia phyllocephala     (Camphor daisy)</t>
  </si>
  <si>
    <t>Reimarochloa oligostachya     (Florida reimar grass)</t>
  </si>
  <si>
    <t>Rhabdadenia biflora     (Rubbervine)</t>
  </si>
  <si>
    <t>Rhamnus caroliniana     (Buckthorn)</t>
  </si>
  <si>
    <t>Rhapidophyllum hystrix     (Needle palm)</t>
  </si>
  <si>
    <t>Rhexia alifanus     (Savannah meadowbeauty)</t>
  </si>
  <si>
    <t>Rhexia cubensis     (West indian meadowbeauty)</t>
  </si>
  <si>
    <t>Rhexia lutea     (Yellow meadowbeauty)</t>
  </si>
  <si>
    <t>Rhexia mariana     (Pale Meadow Beauty)</t>
  </si>
  <si>
    <t>Rhexia nashii     (Meadow beauty)</t>
  </si>
  <si>
    <t>Rhexia nuttallii     (Nuttall's meadowbeauty)</t>
  </si>
  <si>
    <t>Rhexia parviflora     (White meadow-beauty)</t>
  </si>
  <si>
    <t>Rhexia petiolata     (Fringed meadowbeauty)</t>
  </si>
  <si>
    <t>Rhexia salicifolia     (Panhandle meadow-beauty)</t>
  </si>
  <si>
    <t>Rhexia spp.     (Meadow-beauty)</t>
  </si>
  <si>
    <t>Rhexia virginica     (Handsome Harry)</t>
  </si>
  <si>
    <t>Rhizophora mangle     (Red mangrove)</t>
  </si>
  <si>
    <t>Rhododendron canescens     (Sweet pinxter azalea)</t>
  </si>
  <si>
    <t>Rhododendron viscosum     (Swamp azalea)</t>
  </si>
  <si>
    <t>Rhodomyrtus tomentosus     (Downy rose-myrtle)</t>
  </si>
  <si>
    <t>Rhus copallinum     (Winged sumac)</t>
  </si>
  <si>
    <t>Rhynchelytrum repens     (Natalgrass)</t>
  </si>
  <si>
    <t>Rhynchosia cinerea     (Brownhair snoutbean)</t>
  </si>
  <si>
    <t>Rhynchosia difformis     (Doubleform snoutbean)</t>
  </si>
  <si>
    <t>Rhynchosia michauxii     (Michaux's snoutbean)</t>
  </si>
  <si>
    <t>Rhynchosia minima     (Least snoutbean)</t>
  </si>
  <si>
    <t>Rhynchosia reniformis     (Dollarleaf)</t>
  </si>
  <si>
    <t>Rhynchosia tomentosa     (Twining snoutbean)</t>
  </si>
  <si>
    <t>Rhynchospora baldwinii     (Baldwin's beaksedge)</t>
  </si>
  <si>
    <t>Rhynchospora caduca     (Anglestem beaksedge)</t>
  </si>
  <si>
    <t>Rhynchospora cephalantha     (Clustered beakrush)</t>
  </si>
  <si>
    <t>Rhynchospora chalerocephala     (Beakrush)</t>
  </si>
  <si>
    <t>Rhynchospora chapmanii     (Chapman's beakrush)</t>
  </si>
  <si>
    <t>Rhynchospora ciliaris     (Fringed beaksedge)</t>
  </si>
  <si>
    <t>Rhynchospora colorata     (Starrush whitetop)</t>
  </si>
  <si>
    <t>Rhynchospora corniculata     (Short bristle beakrush)</t>
  </si>
  <si>
    <t>Rhynchospora debilis     (Savannah beaksedge)</t>
  </si>
  <si>
    <t>Rhynchospora decurrens     (Swamp-forest beakrush)</t>
  </si>
  <si>
    <t>Rhynchospora divergens     (Spreading beakrush)</t>
  </si>
  <si>
    <t>Rhynchospora elliottii     (Elliott's beaksedge)</t>
  </si>
  <si>
    <t>Rhynchospora eximia     (Florida beaksedge)</t>
  </si>
  <si>
    <t>Rhynchospora fascicularis     (Fascicled beaksedge)</t>
  </si>
  <si>
    <t>Rhynchospora fernaldii     (Fernald's beaksedge)</t>
  </si>
  <si>
    <t>Rhynchospora filifolia     (Threadleaf beaksedge)</t>
  </si>
  <si>
    <t>Rhynchospora floridensis     (Florida whitetop)</t>
  </si>
  <si>
    <t>Rhynchospora galeana     (Shortbristle beadsedge)</t>
  </si>
  <si>
    <t>Rhynchospora globularis     (Globe beaksedge)</t>
  </si>
  <si>
    <t>Rhynchospora grayi     (Gray's beakrush)</t>
  </si>
  <si>
    <t>Rhynchospora harperi     (Harper's beakrush)</t>
  </si>
  <si>
    <t>Rhynchospora intermedia     (Pinebarren beakrush)</t>
  </si>
  <si>
    <t>Rhynchospora inundata     (Horned beakrush)</t>
  </si>
  <si>
    <t>Rhynchospora latifolia     (Giant whitetop)</t>
  </si>
  <si>
    <t>Rhynchospora macra     (Large beakrush)</t>
  </si>
  <si>
    <t>Rhynchospora megalocarpa     (Giant-fruited beakrush)</t>
  </si>
  <si>
    <t>Rhynchospora megaplumosa     (Longbristle beaksedge)</t>
  </si>
  <si>
    <t>Rhynchospora microcarpa     (Southern beakrush)</t>
  </si>
  <si>
    <t>Rhynchospora microcephala     (Beakrush)</t>
  </si>
  <si>
    <t>Rhynchospora miliacea     (Floodplain beakrush)</t>
  </si>
  <si>
    <t>Rhynchospora mixta     (Mingled beakrush)</t>
  </si>
  <si>
    <t>Rhynchospora nitens     (Shortbeak beaksedge)</t>
  </si>
  <si>
    <t>Rhynchospora odorata     (Fragrant beaksedge)</t>
  </si>
  <si>
    <t>Rhynchospora oligantha     (Few-flower beakrush)</t>
  </si>
  <si>
    <t>Rhynchospora perplexa     (Pineland beaksedge)</t>
  </si>
  <si>
    <t>Rhynchospora pleiantha     (Coastal beaksedge)</t>
  </si>
  <si>
    <t>Rhynchospora plumosa     (Plumed beaksedge)</t>
  </si>
  <si>
    <t>Rhynchospora pusilla      (Fairy beaksedge)</t>
  </si>
  <si>
    <t>Rhynchospora rariflora     (Fewflower beaksedge)</t>
  </si>
  <si>
    <t>Rhynchospora scirpoides     (Longbeak beaksedge)</t>
  </si>
  <si>
    <t>Rhynchospora spp.     (Beakrush)</t>
  </si>
  <si>
    <t>Rhynchospora stenophylla     (Chapman's beakrush)</t>
  </si>
  <si>
    <t>Rhynchospora sulcata     (Dixie beaksedge)</t>
  </si>
  <si>
    <t>Rhynchospora tracyi     (Tracy's beakrush)</t>
  </si>
  <si>
    <t>Rhynchospora wrightiana     (Wright's beaksedge)</t>
  </si>
  <si>
    <t>Richardia brasiliensis     (Tropical mexican clover)</t>
  </si>
  <si>
    <t>Richardia grandiflora     (Largeflower mexican clover)</t>
  </si>
  <si>
    <t>Richardia scabra     (Florida pusley)</t>
  </si>
  <si>
    <t>Ricinus communis     (Castorbean)</t>
  </si>
  <si>
    <t>Rivina humilis     (Rougeplant)</t>
  </si>
  <si>
    <t>Robinia pseudoacacia     (Black locust)</t>
  </si>
  <si>
    <t>Rorippa palustris     (Bog yellowcress)</t>
  </si>
  <si>
    <t>Rorippa spp.     (Yellow-cress)</t>
  </si>
  <si>
    <t>Rorippa teres     (Southern marsh yellowcress)</t>
  </si>
  <si>
    <t>Rosa bracteata     (Macartney rose)</t>
  </si>
  <si>
    <t>Rosa laevigata     (Cherokee rose)</t>
  </si>
  <si>
    <t>Rosa palustris     (Swamp rosemallow)</t>
  </si>
  <si>
    <t>Rotala ramosior     (Toothcup)</t>
  </si>
  <si>
    <t>Rottboellia cochinchinensis     (Itchgrass)</t>
  </si>
  <si>
    <t>Roystonea spp.     (Royal palm)</t>
  </si>
  <si>
    <t>Rubus betulifolis     (Blackberry)</t>
  </si>
  <si>
    <t>Rubus cuneifolius     (Sand blackberry)</t>
  </si>
  <si>
    <t>Rubus pensilvanicus     (Sawtooth blackberry)</t>
  </si>
  <si>
    <t>Rubus sp.     (Blackberry)</t>
  </si>
  <si>
    <t>Rubus trivialis     (Southern dewberry)</t>
  </si>
  <si>
    <t>Rudbeckia fulgida     (Orange coneflower)</t>
  </si>
  <si>
    <t>Rudbeckia graminifolia     (Grassleaf coneflower)</t>
  </si>
  <si>
    <t>Rudbeckia hirta     (Blackeyed susan)</t>
  </si>
  <si>
    <t>Rudbeckia lacinlata     (Cut-leaf coneflower)</t>
  </si>
  <si>
    <t>Rudbeckia mohrii     (Mohr's coneflower)</t>
  </si>
  <si>
    <t>Rudbeckia mollis     (Softhair coneflower)</t>
  </si>
  <si>
    <t>Rudbeckia nitida     (Shiny coneflower)</t>
  </si>
  <si>
    <t>Ruellia blechum     (Browne's blechum)</t>
  </si>
  <si>
    <t>Ruellia brittoniana     (Britton's wild-petunia)</t>
  </si>
  <si>
    <t>Ruellia caroliniensis     (Wild-petunia )</t>
  </si>
  <si>
    <t>Ruellia ciliosa     (Ciliate wild petunia)</t>
  </si>
  <si>
    <t>Ruellia noctiflora     (Night-flowering wild-petunia)</t>
  </si>
  <si>
    <t>Ruellia simplex     (Britton's wild petunia)</t>
  </si>
  <si>
    <t>Rumex crispus     (Curly dock)</t>
  </si>
  <si>
    <t>Rumex hastatulus     (Heartwing dock)</t>
  </si>
  <si>
    <t>Rumex obovatus     (Tropical dock)</t>
  </si>
  <si>
    <t>Rumex obtusifolius     (Bitter dock)</t>
  </si>
  <si>
    <t>Rumex paraguayensis     (Paraguayan dock)</t>
  </si>
  <si>
    <t>Rumex pulcher     (Fiddle dock)</t>
  </si>
  <si>
    <t>Rumex spp.     (Dock)</t>
  </si>
  <si>
    <t>Rumex verticillatus     (Swamp dock)</t>
  </si>
  <si>
    <t>Rumohra adiantiformis     (Leatherleaf fern)</t>
  </si>
  <si>
    <t>Ruppia maritima     (Widgeongrass)</t>
  </si>
  <si>
    <t>Russelia equisetiformis     (Fountainbush)</t>
  </si>
  <si>
    <t>Sabal etonia     (Scrub palmetto)</t>
  </si>
  <si>
    <t>Sabal minor     (Dwarf palmetto)</t>
  </si>
  <si>
    <t>Sabal palmetto     (Cabbage palm)</t>
  </si>
  <si>
    <t>Sabatia bartramii     (Bartram's rose-gentian)</t>
  </si>
  <si>
    <t>Sabatia brevifolia     (Shortleaf rosegentian)</t>
  </si>
  <si>
    <t>Sabatia calycina     (Coast rose-gentian)</t>
  </si>
  <si>
    <t>Sabatia campanulata     (Slender rosegentian)</t>
  </si>
  <si>
    <t>Sabatia decandra     (Bartram's rosegentian)</t>
  </si>
  <si>
    <t>Sabatia difformis     (Lanceleaf rosegentian)</t>
  </si>
  <si>
    <t>Sabatia dodecandra     (Large rose-gentian)</t>
  </si>
  <si>
    <t>Sabatia gentianoides     (Pinewoods rosegentian)</t>
  </si>
  <si>
    <t>Sabatia grandiflora     (Sabatia)</t>
  </si>
  <si>
    <t>Sabatia macrophylla     (Largeleaf rosegentian)</t>
  </si>
  <si>
    <t>Sabatia spp.     (Marsh-pink, rose-gentian)</t>
  </si>
  <si>
    <t>Sabatia stellaris     (Rose-of-plymouth)</t>
  </si>
  <si>
    <t>Saccharum baldwinii     (Narrow plumegrass)</t>
  </si>
  <si>
    <t>Saccharum coarctatum     (Sugarcane plumegrass)</t>
  </si>
  <si>
    <t>Saccharum giganteum     (Sugarcane plumegrass)</t>
  </si>
  <si>
    <t>Sacciolepis indica     (Glenwood grass)</t>
  </si>
  <si>
    <t>Sacciolepis striata     (American cupscale)</t>
  </si>
  <si>
    <t>Sachsia polycephala     (Sachsia)</t>
  </si>
  <si>
    <t>Sacoila lanceolata     (Leafless beaked ladiestresses)</t>
  </si>
  <si>
    <t>Sageretia minutiflora     (Smallflower mock buckthorn)</t>
  </si>
  <si>
    <t>Sagina decumbens     (Trailing pearlwort)</t>
  </si>
  <si>
    <t>Sagittaria filiformis     (Threadleaf arrowhead)</t>
  </si>
  <si>
    <t>Sagittaria graminea     (Grassy arrowhead)</t>
  </si>
  <si>
    <t>Sagittaria isoetiformis     (Quillwort arrowhead)</t>
  </si>
  <si>
    <t>Sagittaria kurziana     (Springtape)</t>
  </si>
  <si>
    <t>Sagittaria lancifolia     (Duck potato)</t>
  </si>
  <si>
    <t>Sagittaria latifolia     (Wapato)</t>
  </si>
  <si>
    <t>Sagittaria platyphylla     (Delta arrowhead)</t>
  </si>
  <si>
    <t>Sagittaria spp.     (Arrowhead)</t>
  </si>
  <si>
    <t>Sagittaria subulata     (Arrowhead)</t>
  </si>
  <si>
    <t>Salicornia ambigua     (Perennial glasswort)</t>
  </si>
  <si>
    <t>Salicornia bigelovii     (Annual glasswort)</t>
  </si>
  <si>
    <t>Salicornia spp.     (Glasswort)</t>
  </si>
  <si>
    <t>Salix caroliniana     (Carolina willow)</t>
  </si>
  <si>
    <t>Salix floridana     (Florida willow)</t>
  </si>
  <si>
    <t>Salix nigra     (Black willow)</t>
  </si>
  <si>
    <t>Salix spp.     (Willow  )</t>
  </si>
  <si>
    <t>Salpichroa origanifolia     (Lily-of-the-vally vine)</t>
  </si>
  <si>
    <t>Salsola kali     (Prickly Russian Thistle)</t>
  </si>
  <si>
    <t>Salvia azurea     (Azure blue sage)</t>
  </si>
  <si>
    <t>Salvia coccinea     (Tropical sage, Blood sage)</t>
  </si>
  <si>
    <t>Salvia lyrata     (Lyreleaf sage)</t>
  </si>
  <si>
    <t>Salvia misella     (Southern river sage)</t>
  </si>
  <si>
    <t>Salvia occidentalis     (West indian sage)</t>
  </si>
  <si>
    <t>Salvia serotina     (Littlewoman)</t>
  </si>
  <si>
    <t>Salvinia minima     (Water spangles)</t>
  </si>
  <si>
    <t>Sambucus canadensis     (Elderberry)</t>
  </si>
  <si>
    <t>Samolus ebracteatus     (Water pimpernel)</t>
  </si>
  <si>
    <t>Samolus spp.     (Water pimpernel)</t>
  </si>
  <si>
    <t>Samolus valerandi     (Pineland pimpernel)</t>
  </si>
  <si>
    <t>Sanicula canadensis     (Canadian blacksnakeroot)</t>
  </si>
  <si>
    <t>Sansevieria hyacinthoides     (Mother-in-law's tongue)</t>
  </si>
  <si>
    <t>Sapindus saponaria     (Soapberry)</t>
  </si>
  <si>
    <t>Sapium sebiferum     (Chinese tallow tree)</t>
  </si>
  <si>
    <t>Sarracenia flava     (Yellow pitcherplant)</t>
  </si>
  <si>
    <t>Sarracenia minor     (Hooded pitcher-plant)</t>
  </si>
  <si>
    <t>Sarracenia spp.     (Pitcher-plant)</t>
  </si>
  <si>
    <t>Sassafras albidum     (Sassafras)</t>
  </si>
  <si>
    <t>Saururus cernuus     (Lizard's tail)</t>
  </si>
  <si>
    <t>Scaevola plumieri     (Beachberry)</t>
  </si>
  <si>
    <t>Scaevola taccada     (Beach naupaka)</t>
  </si>
  <si>
    <t>Schefflera actinophylla     (Australian umbrella tree)</t>
  </si>
  <si>
    <t>Schefflera arboricola     (Dwarf schefflera)</t>
  </si>
  <si>
    <t>Schinus terebinthifolius     (Brazilian pepper)</t>
  </si>
  <si>
    <t>Schizachyrium spp.     (Bluestem)</t>
  </si>
  <si>
    <t>Schoenocaulon dubium     (Florida feathershank)</t>
  </si>
  <si>
    <t>Schoenolirion albiflorum     (White sunnybell)</t>
  </si>
  <si>
    <t>Schoenolirion croceum     (Sunny bells)</t>
  </si>
  <si>
    <t>Schoenolirion elliottii     (Sunny bells)</t>
  </si>
  <si>
    <t>Schoenoplectiella erecta     (Raynal's bulrush)</t>
  </si>
  <si>
    <t>Schoenoplectus americanus     (American bulrush)</t>
  </si>
  <si>
    <t>Schoenoplectus californicus     (Giant bulrush)</t>
  </si>
  <si>
    <t>Schoenoplectus etuberculatus     (Canby's bulrush)</t>
  </si>
  <si>
    <t>Schoenoplectus pungens     (Threesquare bulrush)</t>
  </si>
  <si>
    <t>Schoenoplectus tabernaemontani     (Softstem bulrush)</t>
  </si>
  <si>
    <t>Schoenus nigricans     (Black-sedge)</t>
  </si>
  <si>
    <t>Schoepfia schreberi     (Graytwig)</t>
  </si>
  <si>
    <t>Schwalbea americana     (Chaffseed)</t>
  </si>
  <si>
    <t>Scirpus cubensis     (Bulrush )</t>
  </si>
  <si>
    <t>Scirpus cyperinus     (Woolgrass)</t>
  </si>
  <si>
    <t>Scirpus lineatus     (Drooping bulrush)</t>
  </si>
  <si>
    <t>Scirpus sp.     (Bulrush)</t>
  </si>
  <si>
    <t>Scleria baldwinii     (Baldwin's nutrush)</t>
  </si>
  <si>
    <t>Scleria ciliata     (Fringed nutrush)</t>
  </si>
  <si>
    <t>Scleria distans     (Riverswamp nutrush)</t>
  </si>
  <si>
    <t>Scleria georgiana     (Slenderfruit nutrush)</t>
  </si>
  <si>
    <t>Scleria lacustris     (Wright's nutrush)</t>
  </si>
  <si>
    <t>Scleria microcarpa     (Tropical nutrush)</t>
  </si>
  <si>
    <t>Scleria oligantha     (Littlehead nutrush)</t>
  </si>
  <si>
    <t>Scleria reticularis     (Nut rush)</t>
  </si>
  <si>
    <t>Scleria spp.     (Nutrush)</t>
  </si>
  <si>
    <t>Scleria triglomerata     (Tall nutgrass)</t>
  </si>
  <si>
    <t>Scleria verticillata     (Low nutrush)</t>
  </si>
  <si>
    <t>Sclerolepis uniflora     (One-flower hardscale)</t>
  </si>
  <si>
    <t>Scoparia dulcis     (Sweet broom)</t>
  </si>
  <si>
    <t>Scutellaria arenicola     (Florida scrub skullcap)</t>
  </si>
  <si>
    <t>Scutellaria floridana     (Skullcap)</t>
  </si>
  <si>
    <t>Scutellaria integrifolia     (Rough skullcap)</t>
  </si>
  <si>
    <t>Scutellaria laterflora     (Blue skullcap)</t>
  </si>
  <si>
    <t>Scutellaria multiglandulosa     (Small's skullcap)</t>
  </si>
  <si>
    <t>Scutellaria racemosa     (Skullcap)</t>
  </si>
  <si>
    <t>Sebastiania fruticosa     (Gulf sebastian-bush)</t>
  </si>
  <si>
    <t>Secale cereale     (Cultivated rye)</t>
  </si>
  <si>
    <t>Selaginella apoda     (Meadow spike-moss)</t>
  </si>
  <si>
    <t>Selaginella arenicola     (Sand spike-moss)</t>
  </si>
  <si>
    <t>Selaginella uncinata     (Peacock spike-moss)</t>
  </si>
  <si>
    <t>Selenicereus pteranthus     (Princess-of-the-night)</t>
  </si>
  <si>
    <t>Senecio aureus     (Golden ragwort)</t>
  </si>
  <si>
    <t>Senecio glabellus     (Butterweed)</t>
  </si>
  <si>
    <t>Senecio vulgaris     (Common groundsel)</t>
  </si>
  <si>
    <t>Senna alata     (Candlestick plant)</t>
  </si>
  <si>
    <t>Senna ligustrina     (Privet wild sensitive plant)</t>
  </si>
  <si>
    <t>Senna macrocarpa     (Sesbania)</t>
  </si>
  <si>
    <t>Senna marilandica     (Maryland wild sensitive plant)</t>
  </si>
  <si>
    <t>Senna obtusifolia     (Coffeeweed)</t>
  </si>
  <si>
    <t>Senna occidentalis     (Septicweed)</t>
  </si>
  <si>
    <t>Senna pendula     (Valamuerto)</t>
  </si>
  <si>
    <t>Serenoa repens     (Saw palmetto)</t>
  </si>
  <si>
    <t>Seriocarpus tortifolius     (Whitetop aster)</t>
  </si>
  <si>
    <t>Sesamum indicum     (Sesame)</t>
  </si>
  <si>
    <t>Sesbania herbacea     (Danglepod)</t>
  </si>
  <si>
    <t>Sesbania punicea     (Rattlebox)</t>
  </si>
  <si>
    <t>Sesbania spp.     (Rattle-bush)</t>
  </si>
  <si>
    <t>Sesbania vesicaria     (Bladderpod)</t>
  </si>
  <si>
    <t>Sesuvium humifusum     (Panal)</t>
  </si>
  <si>
    <t>Sesuvium maritimum     (Slender seapurslane)</t>
  </si>
  <si>
    <t>Sesuvium portulacastrum     (Shoreline seapurslane)</t>
  </si>
  <si>
    <t>Sesuvium spp.     (Sea-purslane)</t>
  </si>
  <si>
    <t>Setaria corrugata     (Coastal bristlegrass)</t>
  </si>
  <si>
    <t>Setaria geniculata     (Knotroot foxtail)</t>
  </si>
  <si>
    <t>Setaria macrosperma     (Coral bristlegrass)</t>
  </si>
  <si>
    <t>Setaria magna     (Giant foxtail)</t>
  </si>
  <si>
    <t>Setaria megaphylla     (Palmgrass)</t>
  </si>
  <si>
    <t>Setaria parviflora     (Yellow bristlegrass)</t>
  </si>
  <si>
    <t>Setaria pumila     (Yellow bristlegrass)</t>
  </si>
  <si>
    <t>Seymeria cassioides     (Black senna)</t>
  </si>
  <si>
    <t>Seymeria pectinata     (Piedmont blacksenna)</t>
  </si>
  <si>
    <t>Sherardia arvensis     (Blue fieldmadder)</t>
  </si>
  <si>
    <t>Sida cordifolia     (Elliott's fanpetals)</t>
  </si>
  <si>
    <t>Sida cordifolia     (Llima)</t>
  </si>
  <si>
    <t>Sida rhombifolia     (Cuban jute)</t>
  </si>
  <si>
    <t>Sida spinosa     (Prickly fanpetals)</t>
  </si>
  <si>
    <t>Sida ulmifolia     (Common wireweed)</t>
  </si>
  <si>
    <t>Sideroxylon alachuense     (Silver buckthorn)</t>
  </si>
  <si>
    <t>Sideroxylon celastrinum     (Saffron plum)</t>
  </si>
  <si>
    <t>Sideroxylon foetidissimum     (False mastic)</t>
  </si>
  <si>
    <t>Sideroxylon lanuginosum     (Gum bully)</t>
  </si>
  <si>
    <t>Sideroxylon lycioides     (Buckthorn bully)</t>
  </si>
  <si>
    <t>Sideroxylon reclinatum     (Florida bully)</t>
  </si>
  <si>
    <t>Sideroxylon rufohirtum     (Rufous florida bully)</t>
  </si>
  <si>
    <t>Sideroxylon tenax     (Tough bully)</t>
  </si>
  <si>
    <t>Sigmoidotropis speciosa     (Wandering cowpea)</t>
  </si>
  <si>
    <t>Silene antirrhina     (Sleepy catchfly)</t>
  </si>
  <si>
    <t>Silene noctiflora     (Nightflowering catchfly)</t>
  </si>
  <si>
    <t>Silphium ateriscus     (Starry rosinweed)</t>
  </si>
  <si>
    <t>Silphium compositum     (Kidneyleaf rosinweed)</t>
  </si>
  <si>
    <t>Simarouba glauca     (Paradisetree)</t>
  </si>
  <si>
    <t>Sinapis arvensis     (Charlock mustard)</t>
  </si>
  <si>
    <t>Sisyrinchium angustifolium     (Narrowleaf blue-eyed grass)</t>
  </si>
  <si>
    <t>Sisyrinchium atlanticum     (Eastern blue-eye-grass)</t>
  </si>
  <si>
    <t>Sisyrinchium capillare     (Blue-eye-grass)</t>
  </si>
  <si>
    <t>Sisyrinchium mucronatum     (Michaux's blue-eye-grass)</t>
  </si>
  <si>
    <t>Sisyrinchium nashii     (Nash's blue-eyed grass)</t>
  </si>
  <si>
    <t>Sisyrinchium rosulatum     (Annual blue-eyed grass)</t>
  </si>
  <si>
    <t>Sisyrinchium xerophyllum     (Jeweled blue-eyed grass)</t>
  </si>
  <si>
    <t>Sium suave     (Water-parsnip)</t>
  </si>
  <si>
    <t>Smallanthus uvedalia     (Hairy leafcup)</t>
  </si>
  <si>
    <t>Smilax auriculata     (Greenbrier)</t>
  </si>
  <si>
    <t>Smilax bona-nox     (Greenbrier)</t>
  </si>
  <si>
    <t>Smilax glauca     (Cat greenbriar)</t>
  </si>
  <si>
    <t>Smilax laurifolia     (Greenbrier)</t>
  </si>
  <si>
    <t>Smilax pumila     (Sarsaparilla vine)</t>
  </si>
  <si>
    <t>Smilax rotundifolia     (Bullbrier)</t>
  </si>
  <si>
    <t>Smilax smallii     (Jackson vine)</t>
  </si>
  <si>
    <t>Smilax sp.     (Catbrier)</t>
  </si>
  <si>
    <t>Smilax tamnoides     (Bristly greenbrier)</t>
  </si>
  <si>
    <t>Smilax walteri     (Coral greenbrier)</t>
  </si>
  <si>
    <t>Solanum americanum     (American black nightshade)</t>
  </si>
  <si>
    <t>Solanum capsicoides     (Soda apple)</t>
  </si>
  <si>
    <t>Solanum carolinense     (Carolina horsenettle)</t>
  </si>
  <si>
    <t>Solanum chenopodioides     (Black nightshade)</t>
  </si>
  <si>
    <t>Solanum diphyllum      (Twoleaf nightshade)</t>
  </si>
  <si>
    <t>Solanum elaeagnifolium     (Silverleaf nightshade)</t>
  </si>
  <si>
    <t>Solanum erianthum     (Canker-berry)</t>
  </si>
  <si>
    <t>Solanum erianthum     (Shrub nightshade)</t>
  </si>
  <si>
    <t>Solanum jamicense     (Jamaican nightshade)</t>
  </si>
  <si>
    <t>Solanum lycopersicum     (Garden tomato)</t>
  </si>
  <si>
    <t>Solanum seaforthianum     (Brazilian nightshade)</t>
  </si>
  <si>
    <t>Solanum sisymbriifolium      (Sticky nightshade)</t>
  </si>
  <si>
    <t>Solanum tampicense     (Aquatic soda apple)</t>
  </si>
  <si>
    <t>Solanum torvum     (Turkeyberry)</t>
  </si>
  <si>
    <t>Solanum viarum     (Tropical soda apple)</t>
  </si>
  <si>
    <t>Solenostemon scutellarioides     (Common coleus)</t>
  </si>
  <si>
    <t>Solidago arguta     (Carolina goldenrod)</t>
  </si>
  <si>
    <t>Solidago brachyphylla     (Dixie goldenrod)</t>
  </si>
  <si>
    <t>Solidago caesia     (Bluestem goldenrod)</t>
  </si>
  <si>
    <t>Solidago canadensis     (Canada goldenrod)</t>
  </si>
  <si>
    <t>Solidago elliottii     (Elliott's goldenrod)</t>
  </si>
  <si>
    <t>Solidago fistulosa     (Goldenrod )</t>
  </si>
  <si>
    <t>Solidago latissimifolia     (Elliott's goldenrod)</t>
  </si>
  <si>
    <t>Solidago leavenworthii     (Leavenworth's goldenrod)</t>
  </si>
  <si>
    <t>Solidago odor     (Sweet goldenrod)</t>
  </si>
  <si>
    <t>Solidago patula     (Rough-leaf goldenrod)</t>
  </si>
  <si>
    <t>Solidago rugosa     (Wrinkled goldenrod)</t>
  </si>
  <si>
    <t>Solidago sempervirens     (Seaside goldenrod)</t>
  </si>
  <si>
    <t>Solidago stricta     (Willow-leaf goldenrod)</t>
  </si>
  <si>
    <t>Solidago tortifolia     (Twistedleaf goldenrod)</t>
  </si>
  <si>
    <t>Soliva sessilis     (Field burrweed)</t>
  </si>
  <si>
    <t>Sonchus asper     (Spiny sowthistle)</t>
  </si>
  <si>
    <t>Sonchus oleraceus     (Common sowthistle)</t>
  </si>
  <si>
    <t>Sophora tomentosa     (Coast sophora)</t>
  </si>
  <si>
    <t>Sophronanthe hispida     (Rough hedgehyssop)</t>
  </si>
  <si>
    <t>Sophronanthe pilosa     (Shaggy hedgehyssop)</t>
  </si>
  <si>
    <t>Sorghastrum elliottii     (Slender indiangrass)</t>
  </si>
  <si>
    <t>Sorghastrum nutans     (Yellow indiangrass)</t>
  </si>
  <si>
    <t>Sorghastrum secundum     (Lopsided indiangrass)</t>
  </si>
  <si>
    <t>Sorghum bicolor     (Grain sorghum)</t>
  </si>
  <si>
    <t>Sorghum halepense     (Johnsongrass)</t>
  </si>
  <si>
    <t>Sparganium americanum     (Burreed)</t>
  </si>
  <si>
    <t>Spartina alterniflora     (Saltmash cordgrass)</t>
  </si>
  <si>
    <t>Spartina bakeri     (Sand cordgrass)</t>
  </si>
  <si>
    <t>Spartina cynosuroides     (Big cordgrass)</t>
  </si>
  <si>
    <t>Spartina patens     (Saltmeadow cordgrass)</t>
  </si>
  <si>
    <t>Spartina spartinae     (Gulf cordgrass)</t>
  </si>
  <si>
    <t>Spergula arvensis     (Corn spurry)</t>
  </si>
  <si>
    <t>Spergularia marina     (Saltmash sandspurry)</t>
  </si>
  <si>
    <t>Spermacoce glabra     (Smooth button-plant)</t>
  </si>
  <si>
    <t>Spermacoce prostrata     (Prostrate false buttonweed)</t>
  </si>
  <si>
    <t>Spermacoce remota     (Woodland false buttonweed)</t>
  </si>
  <si>
    <t>Spermacoce verticillata     (Shrubby false buttonweed)</t>
  </si>
  <si>
    <t>Spermolepis divaricata     (Roughfruit scaleseed)</t>
  </si>
  <si>
    <t>Spermolepis echinata     (Bristly scaleseed)</t>
  </si>
  <si>
    <t>Sphagneticola trilobata     (Creeping oxeye)</t>
  </si>
  <si>
    <t>Sphagnum spp.     (Sphagnum moss)</t>
  </si>
  <si>
    <t>Sphenoclea zeylanica     (Chicken-spike)</t>
  </si>
  <si>
    <t>Sphenopholis filiformis     (Longleaf wedgescale)</t>
  </si>
  <si>
    <t>Sphenopholis nitida     (Shiny wedgescale)</t>
  </si>
  <si>
    <t>Sphenopholis obtusata     (Prairie wedgescale)</t>
  </si>
  <si>
    <t>Sphenopholis pensylvanica     (Swamp wedgescale)</t>
  </si>
  <si>
    <t>Sphenostigma coelestinum     (Bartram's ixia)</t>
  </si>
  <si>
    <t>Spigella loganoides     (Pink-root)</t>
  </si>
  <si>
    <t>Spilanthes americana     (Creeping spotflower)</t>
  </si>
  <si>
    <t>Spiranthes brevilabris     (Texas ladiestresses)</t>
  </si>
  <si>
    <t>Spiranthes floridana     (Florida ladiestresses)</t>
  </si>
  <si>
    <t>Spiranthes lacera     (Eaton's ladiestresses)</t>
  </si>
  <si>
    <t>Spiranthes laciniata     (Lacelip ladiestresses)</t>
  </si>
  <si>
    <t>Spiranthes longilabris     (Longlip ladiestresses)</t>
  </si>
  <si>
    <t>Spiranthes odorata     (Fragrant ladiestresses)</t>
  </si>
  <si>
    <t>Spiranthes ovalis     (October ladiestresses)</t>
  </si>
  <si>
    <t>Spiranthes praecox     (Greenvein ladiestresses)</t>
  </si>
  <si>
    <t>Spiranthes spp.     (Ladies-tresses)</t>
  </si>
  <si>
    <t>Spiranthes tuberosa     (Little ladiestresses)</t>
  </si>
  <si>
    <t>Spiranthes vernalis     (Spring ladiestresses)</t>
  </si>
  <si>
    <t>Spirodela polyrhiza     (Common duckweed)</t>
  </si>
  <si>
    <t>Sporobolus compositus     (Hidden dropseed)</t>
  </si>
  <si>
    <t>Sporobolus curtissii     (Curtiss' dropseed)</t>
  </si>
  <si>
    <t>Sporobolus domingensis     (Coral dropseed)</t>
  </si>
  <si>
    <t>Sporobolus floridanus     (Florida dropseed)</t>
  </si>
  <si>
    <t>Sporobolus indicus     (Smutgrass)</t>
  </si>
  <si>
    <t>Sporobolus jacquemontii     (West indian dropseed)</t>
  </si>
  <si>
    <t>Sporobolus junceus     (Pineywoods dropseed)</t>
  </si>
  <si>
    <t>Sporobolus virginicus     (Seashore dropseed)</t>
  </si>
  <si>
    <t>Stachys arvensis     (Staggerweed)</t>
  </si>
  <si>
    <t>Stachys crenata     (Shade betony)</t>
  </si>
  <si>
    <t>Stachys floridana     (Florida hedgenettle)</t>
  </si>
  <si>
    <t>Stachys lythroides     (Hedgenettle)</t>
  </si>
  <si>
    <t>Stachytarpheta jamicensis     (Blue porterweed)</t>
  </si>
  <si>
    <t>Staphylea trifolia     (American bladdernut)</t>
  </si>
  <si>
    <t>Steinchisma hians     (Gaping panicum)</t>
  </si>
  <si>
    <t>Steinchisma laxum     (Lax panicgrass)</t>
  </si>
  <si>
    <t>Stellaria media     (Common chickweed)</t>
  </si>
  <si>
    <t>Stellaria pallida     (Lesser chickweed)</t>
  </si>
  <si>
    <t>Stellaria parva      (Pygmy starwort)</t>
  </si>
  <si>
    <t>Stellaria prostrata     (Prostrate starwort)</t>
  </si>
  <si>
    <t>Stenandrium dulce     (Sweet shaggytuft)</t>
  </si>
  <si>
    <t>Stenandrium floridanum     (Stenandrium)</t>
  </si>
  <si>
    <t>Stenanthium densum     (Crowpoison)</t>
  </si>
  <si>
    <t>Stenanthium gramineum     (Eastern feather-bells)</t>
  </si>
  <si>
    <t>Stenaria nigricans     (Diamondflowers)</t>
  </si>
  <si>
    <t>Stenotaphrum secundatum     (St. Augustine grass)</t>
  </si>
  <si>
    <t>Stillingia aquatica     (Corkwood)</t>
  </si>
  <si>
    <t>Stillingia sylvatica var. tenuis     (Marsh queen's-delight)</t>
  </si>
  <si>
    <t>Stipa avenacioides     (Florida needle grass)</t>
  </si>
  <si>
    <t>Stipulicida setacea     (Pineland scalypink)</t>
  </si>
  <si>
    <t>Stokesia laevis     (Stokesia)</t>
  </si>
  <si>
    <t>Striga gesnerioides     (Cowpea witchweed)</t>
  </si>
  <si>
    <t>Strophostyles helvola     (Trailing fuzzybean)</t>
  </si>
  <si>
    <t>Strophostyles umbellata     (Pink fuzzybean)</t>
  </si>
  <si>
    <t>Stuckenia pectinata     (Sago pondweed)</t>
  </si>
  <si>
    <t>Stylisma abdita     (Showy dawnflower)</t>
  </si>
  <si>
    <t>Stylisma patens     (Coastalplain dawnflower)</t>
  </si>
  <si>
    <t>Stylisma villosa     (Hairy dawnflower)</t>
  </si>
  <si>
    <t>Stylosanthes biflora     (Sidebeak pencilflower)</t>
  </si>
  <si>
    <t>Stylosanthes hamata     (Cheesytoes)</t>
  </si>
  <si>
    <t>Styrax americana     (Snowbell, storax)</t>
  </si>
  <si>
    <t>Suaeda spp.     (Sea-blite)</t>
  </si>
  <si>
    <t>Suriana maritima     (Bay-cedar)</t>
  </si>
  <si>
    <t>Syagrus romanzoffiana     (Queen palm)</t>
  </si>
  <si>
    <t>Symphyotrichum adnatum     (Scaleleaf aster)</t>
  </si>
  <si>
    <t>Symphyotrichum bahamense     (Bahaman aster)</t>
  </si>
  <si>
    <t>Symphyotrichum carolinianum     (Climbing aster)</t>
  </si>
  <si>
    <t>Symphyotrichum concolor     (Eastern silver aster)</t>
  </si>
  <si>
    <t>Symphyotrichum dumosum     (Rice button aster)</t>
  </si>
  <si>
    <t>Symphyotrichum elliottii     (Elliott's aster)</t>
  </si>
  <si>
    <t>Symphyotrichum expansum     (Southwestern annual saltmarsh aster)</t>
  </si>
  <si>
    <t>Symphyotrichum lateriflorum     (Calico aster)</t>
  </si>
  <si>
    <t>Symphyotrichum pilosum     (White oldfield aster)</t>
  </si>
  <si>
    <t>Symphyotrichum simmondsii     (Simmond's aster)</t>
  </si>
  <si>
    <t>Symphyotrichum subulatum     (Annual saltmarsh aster)</t>
  </si>
  <si>
    <t>Symphyotrichum tenuifolium     (Perrenial saltmarsh aster )</t>
  </si>
  <si>
    <t>Symphyotrichum undulatum     (Wavyleaf aster)</t>
  </si>
  <si>
    <t>Symphyotrichum walteri     (Walter's aster)</t>
  </si>
  <si>
    <t>Symplocos tinctoria     (Common sweetleaf)</t>
  </si>
  <si>
    <t>Syngonanthus flavidus     (Bantam-buttons)</t>
  </si>
  <si>
    <t>Syngonium angustatum     (Fivefingers)</t>
  </si>
  <si>
    <t>Syngonium podophyllum     (American evergreen)</t>
  </si>
  <si>
    <t>Syringodium filiforme     (Manateegrass)</t>
  </si>
  <si>
    <t>Syzygium spp.     (Java plum)</t>
  </si>
  <si>
    <t>Tabernaemontana divaricata     (Cape jasmine)</t>
  </si>
  <si>
    <t>Tagetes erecta     (Aztec marigold)</t>
  </si>
  <si>
    <t>Talinum fruticosum     (Verdolaga-francesa)</t>
  </si>
  <si>
    <t>Talinum paniculatum     (Pink baby's-breath)</t>
  </si>
  <si>
    <t>Taraxacum officinale     (Common dandelion)</t>
  </si>
  <si>
    <t>Tarenaya hassleriana     (Pinkqueen spiderflower)</t>
  </si>
  <si>
    <t>Taxodium ascendens     (Pond cypress)</t>
  </si>
  <si>
    <t>Taxodium distichum     (Bald cypress)</t>
  </si>
  <si>
    <t>Tecoma capensis     (Cape honeysuckle)</t>
  </si>
  <si>
    <t>Tecoma stans     (Yellow elder)</t>
  </si>
  <si>
    <t>Tectaria heracleifolia     (Broad halberd fern)</t>
  </si>
  <si>
    <t>Telmatoblechnum serrulatum     (Toothed midsorus fern)</t>
  </si>
  <si>
    <t>Tephrosia chrysophylla     (Scurf hoarypea)</t>
  </si>
  <si>
    <t>Tephrosia florida     (Florida hoarypea)</t>
  </si>
  <si>
    <t>Tephrosia hispidula     (Sprawling hoarypea)</t>
  </si>
  <si>
    <t>Tephrosia mysteriosa     (Sandhill tippitoes)</t>
  </si>
  <si>
    <t>Tephrosia rugelii     (Rugel's hoarypea)</t>
  </si>
  <si>
    <t>Tephrosia spicata     (Spiked hoarypea)</t>
  </si>
  <si>
    <t>Tephrosia virginiana     (Goat's rue)</t>
  </si>
  <si>
    <t>Terminalia catappa     (West indian almond)</t>
  </si>
  <si>
    <t>Tetraonotheca helianthoides     (Pineland nerveray)</t>
  </si>
  <si>
    <t>Tetrapanax papyrifer     (Ricepaper plant)</t>
  </si>
  <si>
    <t>Tetroagonia tetragonoides     (New Zealand spinach)</t>
  </si>
  <si>
    <t>Teucrium canadense     (Wood sage)</t>
  </si>
  <si>
    <t>Thalassia testudinum     (Turtlegrass)</t>
  </si>
  <si>
    <t>Thalia geniculata     (Thalia, Fire flag)</t>
  </si>
  <si>
    <t>Thalictrum spp.     (Meadow-rue)</t>
  </si>
  <si>
    <t>Thelypteris dentata     (Downy maiden fern)</t>
  </si>
  <si>
    <t>Thelypteris interrupta     (Hottentot fern)</t>
  </si>
  <si>
    <t>Thelypteris kunthii     (Widespread maiden fern)</t>
  </si>
  <si>
    <t>Thelypteris ovata     (Ovate marsh fern)</t>
  </si>
  <si>
    <t>Thelypteris palustris     (Marsh fern)</t>
  </si>
  <si>
    <t>Thelypteris reptans     (Creeping star-hair fern)</t>
  </si>
  <si>
    <t>Thelypteris resinefera     (Glandular maiden fern)</t>
  </si>
  <si>
    <t>Thelypteris serrata     (Toothed lattice-vein fern)</t>
  </si>
  <si>
    <t>Thelypteris spp.     (Shield fern)</t>
  </si>
  <si>
    <t>Thelypteris tetragona     (Free-tip star-hair fern)</t>
  </si>
  <si>
    <t>Thespesia populnea     (Seaside mahoe)</t>
  </si>
  <si>
    <t>Thevetia peruviana     (Luckynut)</t>
  </si>
  <si>
    <t>Thlaspi arvense     (Field pennycress)</t>
  </si>
  <si>
    <t>Thunbergia alata     (Blackeyed susan vine)</t>
  </si>
  <si>
    <t>Thunbergia fragrans     (Whitelady)</t>
  </si>
  <si>
    <t>Thunbergia grandiflora     (Skyvine)</t>
  </si>
  <si>
    <t>Thymophylla tenuiloba     (Bristleleaf pricklyleaf)</t>
  </si>
  <si>
    <t>Thyrsanthella difformis     (Climbing dogbane)</t>
  </si>
  <si>
    <t>Tiedemannia filiformis     (Water cowbane)</t>
  </si>
  <si>
    <t>Tilia americana     (Basswood)</t>
  </si>
  <si>
    <t>Tillandsia balbisiana     (Northern needleleaf)</t>
  </si>
  <si>
    <t>Tillandsia bartramii     (Bartram's airplant)</t>
  </si>
  <si>
    <t>Tillandsia fasciculata     (Cardinal airplant)</t>
  </si>
  <si>
    <t>Tillandsia floridana     (Florida airplant)</t>
  </si>
  <si>
    <t>Tillandsia paucifolia     (Potbelly airplant)</t>
  </si>
  <si>
    <t>Tillandsia recurvata     (Ballmoss)</t>
  </si>
  <si>
    <t>Tillandsia setacea     (Southern needleleaf)</t>
  </si>
  <si>
    <t>Tillandsia simulata     (Florida airplant)</t>
  </si>
  <si>
    <t>Tillandsia usneoides     (Spanish moss)</t>
  </si>
  <si>
    <t>Tillandsia utriculata     (Giant airplant)</t>
  </si>
  <si>
    <t>Tillandsia variabilis     (Leatherleaf airplant)</t>
  </si>
  <si>
    <t>Tipularia discolor     (Crippled cranefly)</t>
  </si>
  <si>
    <t>Tithonia diversifolia     (Shrub sunflower)</t>
  </si>
  <si>
    <t>Tofieldia racemosa     (Coastal false-asphodel)</t>
  </si>
  <si>
    <t>Torenia crustacea     (Malaysian false pimpernel)</t>
  </si>
  <si>
    <t>Torenia fournieri     (Bluewings)</t>
  </si>
  <si>
    <t>Toxicodendron pubescens     (Atlantic poison oak)</t>
  </si>
  <si>
    <t>Toxicodendron radicans     (Poison ivy)</t>
  </si>
  <si>
    <t>Toxicodendron vernix     (Poison sumac)</t>
  </si>
  <si>
    <t>Trachelospermum difforme     (Climbing-dogbane)</t>
  </si>
  <si>
    <t>Tradescantia fluminensis     (Trailing spiderwort)</t>
  </si>
  <si>
    <t>Tradescantia ohiensis     (Bluejacket)</t>
  </si>
  <si>
    <t>Tradescantia pallida     (Purplequeen)</t>
  </si>
  <si>
    <t>Tradescantia roseolens     (Longleaf spiderwort)</t>
  </si>
  <si>
    <t>Tradescantia spathacea     (Oyster-plant)</t>
  </si>
  <si>
    <t>Tradescantia zebrina     (Wandering-jew)</t>
  </si>
  <si>
    <t>Tragia smallii     (Small's noseburn)</t>
  </si>
  <si>
    <t>Tragia urens     (Wavyleaf noseburn)</t>
  </si>
  <si>
    <t>Trema spp.     (Trema)</t>
  </si>
  <si>
    <t>Trepocarpus aethusae     (Aethusa-like trepocarpus)</t>
  </si>
  <si>
    <t>Triadenum spp.     (Marsh St. John's-wort)</t>
  </si>
  <si>
    <t>Triadenum virginicum     (Triadenum  )</t>
  </si>
  <si>
    <t>Triadenum walteri     (Pink-flowered St. John's wort)</t>
  </si>
  <si>
    <t>Triadica sebifera     (Chinese tallowtree)</t>
  </si>
  <si>
    <t>Trianthema portulacastrum     (Horse-purslane)</t>
  </si>
  <si>
    <t>Tribulus cistoides     (Burrnut)</t>
  </si>
  <si>
    <t>Tribulus terrestris     (Puncturevine)</t>
  </si>
  <si>
    <t>Trichomanes punctatum     (Florida bristle fern)</t>
  </si>
  <si>
    <t>Trichostema dichotomum     (Forked bluecurls)</t>
  </si>
  <si>
    <t>Trichostema setaceum     (Narrowleaf bluecurls)</t>
  </si>
  <si>
    <t>Tridax procumbens     (Coatbuttons)</t>
  </si>
  <si>
    <t>Tridens ambiguus     (Savannah tridens)</t>
  </si>
  <si>
    <t>Tridens flavus     (Tall redtop)</t>
  </si>
  <si>
    <t>Tridens strictus     (Long-spike tridens)</t>
  </si>
  <si>
    <t>Trifolium arvense     (Rabbitfoot clover)</t>
  </si>
  <si>
    <t>Trifolium campestre     (Field clover)</t>
  </si>
  <si>
    <t>Trifolium carolinianum     (Carolina clover)</t>
  </si>
  <si>
    <t>Trifolium dubium     (Low hop clover)</t>
  </si>
  <si>
    <t>Trifolium pratense     (Red clover)</t>
  </si>
  <si>
    <t>Trifolium reflexum     (Buffalo clover)</t>
  </si>
  <si>
    <t>Trifolium repens     (White clover)</t>
  </si>
  <si>
    <t>Trifolium resupinatum     (Persian clover)</t>
  </si>
  <si>
    <t>Triglochin striata     (Arrow-grass)</t>
  </si>
  <si>
    <t>Triodanis biflora     (Small venus' looking-glass)</t>
  </si>
  <si>
    <t>Triodanis perfoliata     (Clasping venus' looking-glass)</t>
  </si>
  <si>
    <t>Triphora craigheadii     (Craighead's noddingcaps)</t>
  </si>
  <si>
    <t>Triphora rickettii     (Rickett's noddingcaps)</t>
  </si>
  <si>
    <t>Triphora spp.     (Nodding pogonias)</t>
  </si>
  <si>
    <t>Triphora trianthophoros     (Threebirds)</t>
  </si>
  <si>
    <t>Tripidium ravennae     (Ravennagrass)</t>
  </si>
  <si>
    <t>Triplasis americana     (Perennial sandgrass)</t>
  </si>
  <si>
    <t>Triplasis purpurea     (Purple sandgrass)</t>
  </si>
  <si>
    <t>Tripsacum dactyloides     (Eastern gama grass)</t>
  </si>
  <si>
    <t>Triticum aestivum     (Common wheat)</t>
  </si>
  <si>
    <t>Triumfetta pentandra     (Fivestamen burrbark)</t>
  </si>
  <si>
    <t>Turnera ulmifolia     (Yellow alder)</t>
  </si>
  <si>
    <t>Typha domingensis     (Cattail)</t>
  </si>
  <si>
    <t>Typha latifolia     (Cattail)</t>
  </si>
  <si>
    <t>Typha spp.     (Cattail)</t>
  </si>
  <si>
    <t>Ulmus alata     (Winged elm)</t>
  </si>
  <si>
    <t>Ulmus americana     (American Elm)</t>
  </si>
  <si>
    <t>Ulmus crassifolia     (Cedar elm)</t>
  </si>
  <si>
    <t>Ulmus parvifolia     (Chinese elm)</t>
  </si>
  <si>
    <t>Ulmus rubra     (Slippery elm)</t>
  </si>
  <si>
    <t>Ulmus spp.     (Elm)</t>
  </si>
  <si>
    <t>Uniola paniculata     (Seaoats)</t>
  </si>
  <si>
    <t>Urechites lutea     (Wild allamanda)</t>
  </si>
  <si>
    <t>Urena lobata     (Caesar-weed)</t>
  </si>
  <si>
    <t>Urochloa adspersa     (Dominican signalgrass)</t>
  </si>
  <si>
    <t>Urochloa distachya     (Tropical signalgrass)</t>
  </si>
  <si>
    <t>Urochloa fusca     (Browntop signalgrass)</t>
  </si>
  <si>
    <t>Urochloa maxima     (Guineagrass)</t>
  </si>
  <si>
    <t>Urochloa mutica     (Paragrass)</t>
  </si>
  <si>
    <t>Urochloa piligera     (Hairy signalgrass)</t>
  </si>
  <si>
    <t>Urochloa plantaginea     (Creeping signalgrass)</t>
  </si>
  <si>
    <t>Urochloa platyphylla     (Broadleaf signalgrass)</t>
  </si>
  <si>
    <t>Urochloa ramosa     (browntop millet)</t>
  </si>
  <si>
    <t>Urochloa texana     (Texas signalgrass)</t>
  </si>
  <si>
    <t>Urtica chamaedryoides     (Heartleaf nettle)</t>
  </si>
  <si>
    <t>Urtica urens     (Burning nettle)</t>
  </si>
  <si>
    <t>Utricularia cornuta     (Horned bladderwort)</t>
  </si>
  <si>
    <t>Utricularia floridana     (Florida yellow bladderwort)</t>
  </si>
  <si>
    <t>Utricularia foliosa     (Bladderwort)</t>
  </si>
  <si>
    <t>Utricularia gibba     (Humped bladderwort)</t>
  </si>
  <si>
    <t>Utricularia inflata     (Bladderwort)</t>
  </si>
  <si>
    <t>Utricularia juncea     (Southern bladderwort)</t>
  </si>
  <si>
    <t>Utricularia olivacea     (Piedmont bladderwort)</t>
  </si>
  <si>
    <t>Utricularia purpurea     (Eastern purple bladderwort)</t>
  </si>
  <si>
    <t>Utricularia radiata     (Little floating bladderwort)</t>
  </si>
  <si>
    <t>Utricularia resupinata     (Lavender bladderwort)</t>
  </si>
  <si>
    <t>Utricularia simulans     (Fringed bladderwort)</t>
  </si>
  <si>
    <t>Utricularia spp.     (Bladderwort)</t>
  </si>
  <si>
    <t>Utricularia subulata     (Zigzag bladderwort)</t>
  </si>
  <si>
    <t>Uvularia floridana     (Florida bellwort)</t>
  </si>
  <si>
    <t>Vaccinium arboreum     (Sparkleberry)</t>
  </si>
  <si>
    <t>Vaccinium corymbosum     (Highbush blueberry)</t>
  </si>
  <si>
    <t>Vaccinium darrowii     (Blueberry)</t>
  </si>
  <si>
    <t>Vaccinium elliotii     (Mayberry)</t>
  </si>
  <si>
    <t>Vaccinium myrsinites     (Shiny blueberry)</t>
  </si>
  <si>
    <t>Vaccinium stamineum     (Deerberry)</t>
  </si>
  <si>
    <t>Vachellia farnesiana     (Sweet acacia)</t>
  </si>
  <si>
    <t>Valeriana scandens     (Florida valerian)</t>
  </si>
  <si>
    <t>Vallisneria americana     (American eelgrass)</t>
  </si>
  <si>
    <t>Veratrum virginicum     (Virginia bunchflower)</t>
  </si>
  <si>
    <t>Verbascum blattaria     (Moth mullein)</t>
  </si>
  <si>
    <t>Verbascum thapsus     (Common mullein)</t>
  </si>
  <si>
    <t>Verbascum virgatum     (Wand mullein)</t>
  </si>
  <si>
    <t>Verbena brasiliensis     (Brazilian vervain)</t>
  </si>
  <si>
    <t>Verbena carnea     (Carolina false vervain)</t>
  </si>
  <si>
    <t>Verbena halei     (Texas vervain)</t>
  </si>
  <si>
    <t>Verbena incompta     (Purpletop vervain)</t>
  </si>
  <si>
    <t>Verbena montevidensis     (Uruguayan vervain)</t>
  </si>
  <si>
    <t>Verbena scabra     (Sandpaper vervain)</t>
  </si>
  <si>
    <t>Verbesina chapmanii     (Chapman's crownbeard)</t>
  </si>
  <si>
    <t>Verbesina encelioides     (Golden crownbeard)</t>
  </si>
  <si>
    <t>Verbesina heterophylla     (Diverse-leaf crownbeard)</t>
  </si>
  <si>
    <t>Verbesina virginica     (White crownbeard)</t>
  </si>
  <si>
    <t>Vernonia acaulis     (Stemless ironweed)</t>
  </si>
  <si>
    <t>Vernonia angustifolia     (Narrow-leaf ironweed)</t>
  </si>
  <si>
    <t>Vernonia blodgettii     (Florida ironweed)</t>
  </si>
  <si>
    <t>Vernonia gigantea     (Giant ironweed)</t>
  </si>
  <si>
    <t>Vernonia noveboracensis     (New York ironweed)</t>
  </si>
  <si>
    <t>Vernonia spp.     (Ironweed)</t>
  </si>
  <si>
    <t>Veronica anagallis-aquatica     (Water speedwell)</t>
  </si>
  <si>
    <t>Veronica arvensis     (Corn speedwell)</t>
  </si>
  <si>
    <t>Veronica peregrina     (Neckweed)</t>
  </si>
  <si>
    <t>Veronica persica     (Birdeye speedwell)</t>
  </si>
  <si>
    <t>Veronicastrum virginicum     (Culver's-root )</t>
  </si>
  <si>
    <t>Viburnum dentatum     (Arrow-wood)</t>
  </si>
  <si>
    <t>Viburnum nudum     (Possum-haw viburnum)</t>
  </si>
  <si>
    <t>Viburnum obovatum     (Walter viburnum)</t>
  </si>
  <si>
    <t>Viburnum rifidulum     (Rusty blackhaw)</t>
  </si>
  <si>
    <t>Vicia acutifolia     (Four-leaf vetch)</t>
  </si>
  <si>
    <t>Vicia floridana     (Florida vetch)</t>
  </si>
  <si>
    <t>Vicia hirsuta     (Sparrow vetch)</t>
  </si>
  <si>
    <t>Vicia ocalensis     (Ocala vetch)</t>
  </si>
  <si>
    <t>Vicia sativa     (Common vetch)</t>
  </si>
  <si>
    <t>Vicia tetrasperma     (Lentil vetch)</t>
  </si>
  <si>
    <t>Vicia villosa     (Hairy vetch)</t>
  </si>
  <si>
    <t>Vigna luteola     (Hairypod cowpea)</t>
  </si>
  <si>
    <t>Vigna unguiculata     (Blackeyed pea)</t>
  </si>
  <si>
    <t>Viola affinis     (Leconte's violet)</t>
  </si>
  <si>
    <t>Viola bicolor     (Field pansy)</t>
  </si>
  <si>
    <t>Viola esculenta     (Edible violet)</t>
  </si>
  <si>
    <t>Viola lanceolata     (Lance-leaf violet)</t>
  </si>
  <si>
    <t>Viola palmata     (Early blue violet)</t>
  </si>
  <si>
    <t>Viola primulifolia     (Primrose-leaf violet)</t>
  </si>
  <si>
    <t>Viola sororia     (Common blue violet)</t>
  </si>
  <si>
    <t>Viola villosa     (Carolina violet)</t>
  </si>
  <si>
    <t>Viola walteri     (Prostrate blue violet)</t>
  </si>
  <si>
    <t>Vitex agnus-castus     (Lilac chasetree)</t>
  </si>
  <si>
    <t>Vitex trifolia     (Simpleleaf chasetree)</t>
  </si>
  <si>
    <t>Vitis aestivalis     (Summer grape)</t>
  </si>
  <si>
    <t>Vitis cinerea      (Florida grape)</t>
  </si>
  <si>
    <t>Vitis rotundifolia     (Muscadine grape)</t>
  </si>
  <si>
    <t>Vitis shuttleworthii     (Calloose grape)</t>
  </si>
  <si>
    <t>Vitis vulpina     (Frost grape)</t>
  </si>
  <si>
    <t>Vittaria lineata     (Shoestring fern)</t>
  </si>
  <si>
    <t>Vulpia elliotea     (Squirreltail fescue)</t>
  </si>
  <si>
    <t>Vulpia myuros     (Rattail fescue)</t>
  </si>
  <si>
    <t>Vulpia octoflora     (Sixweeks fescue)</t>
  </si>
  <si>
    <t>Wahlenbergia linarioides     (Tuffybells)</t>
  </si>
  <si>
    <t>Wahlenbergia marginata     (Southern rockbell)</t>
  </si>
  <si>
    <t>Waltheria indica     (Sleepy morning)</t>
  </si>
  <si>
    <t>Warea amplexifolia     (Wideleaf pinelandcress)</t>
  </si>
  <si>
    <t>Warea carteri     (Carter's pinelandcress)</t>
  </si>
  <si>
    <t>Websteria confervoides     (Algal bulrush, water-meal)</t>
  </si>
  <si>
    <t>Wedelia trilobata     (Creeping ox-eye)</t>
  </si>
  <si>
    <t>Wisteria floribunda     (Japanese wisteria)</t>
  </si>
  <si>
    <t>Wisteria frutescens     (American wisteria)</t>
  </si>
  <si>
    <t>Wisteria sinensis     (Chinese wisteria)</t>
  </si>
  <si>
    <t>Woodwardia areolata     (Net-vein chain fern)</t>
  </si>
  <si>
    <t>Woodwardia virginica     (Virginia chain fern)</t>
  </si>
  <si>
    <t>Xanthium strumarium     (Cockleburr)</t>
  </si>
  <si>
    <t>Xanthoriza simplicissima     (Shrubby yellow-root)</t>
  </si>
  <si>
    <t>Xanthosoma sagittifolium     (Elephant ear)</t>
  </si>
  <si>
    <t>Ximenia americana     (Tallowwood)</t>
  </si>
  <si>
    <t>Xyris ambigua     (Coastalplain yelloweyed grass)</t>
  </si>
  <si>
    <t>Xyris baldwiniana     (Baldwin's yelloweyed grass)</t>
  </si>
  <si>
    <t>Xyris brevifolia     (Shortleaf yelloweyed grass)</t>
  </si>
  <si>
    <t>Xyris calcicola     (Limestone yelloweyed grass)</t>
  </si>
  <si>
    <t>Xyris caroliniana     (Carolina yellow-eyed grass)</t>
  </si>
  <si>
    <t>Xyris curtissii     (Curtiss's yelloweyed grass)</t>
  </si>
  <si>
    <t>Xyris difformis     (Bog yelloweyed grass)</t>
  </si>
  <si>
    <t>Xyris elliottii     (Elliott's yelloweyed grass)</t>
  </si>
  <si>
    <t>Xyris fimbriata     (Fringed yelloweyed grass)</t>
  </si>
  <si>
    <t>Xyris flabelliformis     (Savannah yelloweyed grass)</t>
  </si>
  <si>
    <t>Xyris floridana     (Florida yelloweyed grass)</t>
  </si>
  <si>
    <t>Xyris jupicai     (Tropical yellow-eyed grass)</t>
  </si>
  <si>
    <t>Xyris platylepis     (Tall yelloweyed grass)</t>
  </si>
  <si>
    <t>Xyris serotina     (Acidswamp yelloweyed grass)</t>
  </si>
  <si>
    <t>Xyris smalliana     (Small's yelloweyed grass)</t>
  </si>
  <si>
    <t>Xyris spp.     (yellow-eyed grass )</t>
  </si>
  <si>
    <t>Xyris stricta     (Pineland yelloweyed grass)</t>
  </si>
  <si>
    <t>Yeatesia viridiflora     (Green-flower yeatesia)</t>
  </si>
  <si>
    <t>Youngia japonica     (Oriental flase hawksbeard)</t>
  </si>
  <si>
    <t>Yucca aloifolia     (Spanish bayonet)</t>
  </si>
  <si>
    <t>Yucca filamentosa     (Adam's needle)</t>
  </si>
  <si>
    <t>Zamia integrifolia     (Coontie)</t>
  </si>
  <si>
    <t>Zanthoxylum clava-herculis     (Hercules-club)</t>
  </si>
  <si>
    <t>Zanthoxylum fagara     (Wild lime)</t>
  </si>
  <si>
    <t>Zea mays     (Corn)</t>
  </si>
  <si>
    <t>Zephyranthes atamasco     (Atamasco lily)</t>
  </si>
  <si>
    <t>Zephyranthes insularum     (Island zephyrlily)</t>
  </si>
  <si>
    <t>Zephyranthes simpsonii     (Redmargin zephyrlily)</t>
  </si>
  <si>
    <t>Zeuxine strateumatica     (Soldier's orchid)</t>
  </si>
  <si>
    <t>Zigadenus densus     (Crow poison)</t>
  </si>
  <si>
    <t>Zigadenus glaberrimus     (Atlantic deathcamas)</t>
  </si>
  <si>
    <t>Zinnia elegans     (Elegant zinnia)</t>
  </si>
  <si>
    <t>Zizania aquatica     (Wildrice)</t>
  </si>
  <si>
    <t>Zizaniopsis miliacea     (Southern wildrice)</t>
  </si>
  <si>
    <t>Zornia bracteata     (Viperina)</t>
  </si>
  <si>
    <t>Zornia matrella     (Manila templegrass)</t>
  </si>
  <si>
    <t>Zoysia pacifica     (Mascarenegrass)</t>
  </si>
  <si>
    <t xml:space="preserve">Vegetative Summary </t>
  </si>
  <si>
    <t>Status</t>
  </si>
  <si>
    <t>Comment</t>
  </si>
  <si>
    <t/>
  </si>
  <si>
    <t>Field Team:</t>
  </si>
  <si>
    <t>UL</t>
  </si>
  <si>
    <t>FAC</t>
  </si>
  <si>
    <t>FACW</t>
  </si>
  <si>
    <t>UPL</t>
  </si>
  <si>
    <t>OBL</t>
  </si>
  <si>
    <t xml:space="preserve">OBL </t>
  </si>
  <si>
    <t>Ul</t>
  </si>
  <si>
    <t xml:space="preserve"> UL</t>
  </si>
  <si>
    <t>AQ</t>
  </si>
  <si>
    <t xml:space="preserve">Field Team: </t>
  </si>
  <si>
    <t xml:space="preserve">Indicator (point 3) </t>
  </si>
  <si>
    <t>Transect 1</t>
  </si>
  <si>
    <t>Transect 2</t>
  </si>
  <si>
    <t>Transect 3</t>
  </si>
  <si>
    <t xml:space="preserve">Wetland Community Type: </t>
  </si>
  <si>
    <t xml:space="preserve">Additional Comments: </t>
  </si>
  <si>
    <t>Wetland Conditions:</t>
  </si>
  <si>
    <t>Tree Fall</t>
  </si>
  <si>
    <t xml:space="preserve">Soil Loss/ Soil Subsidence </t>
  </si>
  <si>
    <t>Soil Fissures</t>
  </si>
  <si>
    <t>Other</t>
  </si>
  <si>
    <t>Other:</t>
  </si>
  <si>
    <t xml:space="preserve">Plot Information: </t>
  </si>
  <si>
    <t xml:space="preserve">Plot Comments: </t>
  </si>
  <si>
    <t xml:space="preserve">Plant Scientific Name </t>
  </si>
  <si>
    <t>Point Description:</t>
  </si>
  <si>
    <t>Layer/Horizon</t>
  </si>
  <si>
    <t>Matrix Texture</t>
  </si>
  <si>
    <t>Depth to Season High Groundwater From Soil Surface (Inches):</t>
  </si>
  <si>
    <t>Point GPS &amp; Photos:</t>
  </si>
  <si>
    <t xml:space="preserve">Other: </t>
  </si>
  <si>
    <t>Wetland Name:</t>
  </si>
  <si>
    <t>Point 1</t>
  </si>
  <si>
    <t>Point 2</t>
  </si>
  <si>
    <t>Point 3</t>
  </si>
  <si>
    <t>X</t>
  </si>
  <si>
    <t>Y</t>
  </si>
  <si>
    <t>Photo Comments:</t>
  </si>
  <si>
    <t xml:space="preserve">DMIT Wetland ID: </t>
  </si>
  <si>
    <t>Lat</t>
  </si>
  <si>
    <t>Long</t>
  </si>
  <si>
    <t xml:space="preserve">Plot Information (meters): </t>
  </si>
  <si>
    <t>% Canopy (DBH &gt; 4")</t>
  </si>
  <si>
    <t xml:space="preserve"> % Sub-Canopy (DBH 1"-4")</t>
  </si>
  <si>
    <t>Totals</t>
  </si>
  <si>
    <t xml:space="preserve">X </t>
  </si>
  <si>
    <t>wetland center</t>
  </si>
  <si>
    <t>Transect</t>
  </si>
  <si>
    <t>Matrix Value/ Chroma</t>
  </si>
  <si>
    <t xml:space="preserve">Wetland Boundary and Hydric @ Surface </t>
  </si>
  <si>
    <t xml:space="preserve">Wetland Boundry, Hydric @ Surface, and Muck @ Surface </t>
  </si>
  <si>
    <t>Plot Orientation:</t>
  </si>
  <si>
    <t>General Comments:</t>
  </si>
  <si>
    <t>Data Entry Instructions</t>
  </si>
  <si>
    <t>Hydrological:</t>
  </si>
  <si>
    <t>*Enter all data to the right of the appropriate box. Below information requires more instructions</t>
  </si>
  <si>
    <t>Soil:</t>
  </si>
  <si>
    <t xml:space="preserve">Photo Comments: </t>
  </si>
  <si>
    <t xml:space="preserve">Vegetation: </t>
  </si>
  <si>
    <t>All tabs</t>
  </si>
  <si>
    <t>Date of Last Revision: October 7, 2019</t>
  </si>
  <si>
    <t>All white cells have drop-downs. Click on white cell to access drop-down.</t>
  </si>
  <si>
    <t>If the appropriate point description is not listed in dropdown, select "other" and describe in cell below (line 6).</t>
  </si>
  <si>
    <t xml:space="preserve">Under Indicator Present, enter the Texture(s) (All or Sandy) that was/were checked in preceeding cells.  </t>
  </si>
  <si>
    <t xml:space="preserve">Optional / as needed. </t>
  </si>
  <si>
    <t xml:space="preserve">Begin typing all or part of the scientific or common name and then click on the dropdown to select plant species. </t>
  </si>
  <si>
    <t xml:space="preserve"> % Groundcover (DBH &lt;1")</t>
  </si>
  <si>
    <t>Status (Columns D-G) will auto populate. Enter percent cover in appropriate Strata and Status cell.</t>
  </si>
  <si>
    <t>Optional / as needed</t>
  </si>
  <si>
    <t xml:space="preserve">Red dot indicates location of the soil point / PVC marker.  To move dot to appropriate corner of quadrate, click on the dot to activate it and drag it to the correct location. Enter X and Y compass bearings (degrees) on axes. </t>
  </si>
  <si>
    <t>Indicator Present (columns K, L):</t>
  </si>
  <si>
    <t>Vegetative Summary (cell A/B13):</t>
  </si>
  <si>
    <t>Strata and Status (lines 11, 12)</t>
  </si>
  <si>
    <t>Comments (columns V-Y)</t>
  </si>
  <si>
    <t>Plot Orientation Box (columns V-Y):</t>
  </si>
  <si>
    <t>Lat/Long in Decimal Degrees</t>
  </si>
  <si>
    <t xml:space="preserve">Indicator (point 4) </t>
  </si>
  <si>
    <t>Point 4</t>
  </si>
  <si>
    <t xml:space="preserve">Point Type: </t>
  </si>
  <si>
    <t>Point Type:</t>
  </si>
  <si>
    <t>Point Type (line 5):</t>
  </si>
  <si>
    <t>Vines</t>
  </si>
  <si>
    <t xml:space="preserve">If you notice a vince species please change the status to FAC </t>
  </si>
  <si>
    <t>Lat/Long (Decimal Degrees)</t>
  </si>
  <si>
    <t xml:space="preserve">General Comments </t>
  </si>
  <si>
    <t>State "No indicators present" if no indicators observed for any transect.</t>
  </si>
  <si>
    <t>Date of Last Revision: November 5, 2019</t>
  </si>
  <si>
    <t>Bull Creek North</t>
  </si>
  <si>
    <t>Hart, Holmberg, Richardson, Lindsey, Garrett-Kraus</t>
  </si>
  <si>
    <t>Lichen Line</t>
  </si>
  <si>
    <t>Hart, Holmberg, Richardson</t>
  </si>
  <si>
    <t>1</t>
  </si>
  <si>
    <t>2</t>
  </si>
  <si>
    <t>3</t>
  </si>
  <si>
    <t>4</t>
  </si>
  <si>
    <t>5</t>
  </si>
  <si>
    <t>6</t>
  </si>
  <si>
    <t>0-3</t>
  </si>
  <si>
    <t>3-4</t>
  </si>
  <si>
    <t>4-6</t>
  </si>
  <si>
    <t>6-9</t>
  </si>
  <si>
    <t>9-18</t>
  </si>
  <si>
    <t>18-31</t>
  </si>
  <si>
    <t>10YR</t>
  </si>
  <si>
    <t>2/1</t>
  </si>
  <si>
    <t>4/1</t>
  </si>
  <si>
    <t>7/2</t>
  </si>
  <si>
    <t>Sand</t>
  </si>
  <si>
    <t>Common Fine Roots</t>
  </si>
  <si>
    <t>75% masked, 5% pockets 10YR 8/1, common fine roots</t>
  </si>
  <si>
    <t>65% masked, 10% pockets 10YR 8/1 sand, common fine roots</t>
  </si>
  <si>
    <t>20% 10YR 5/1 mottles, 10% 10YR 5/1 depletions diffuse, common fine roots</t>
  </si>
  <si>
    <t>20% 10YR 3/1 mottles, 20% 10YR 6/1 depletions diffuse</t>
  </si>
  <si>
    <t>LRR: U</t>
  </si>
  <si>
    <t>S6</t>
  </si>
  <si>
    <t>S8</t>
  </si>
  <si>
    <t>0-4</t>
  </si>
  <si>
    <t>4-13</t>
  </si>
  <si>
    <t>3/1</t>
  </si>
  <si>
    <t>95% masked, few fine roots, depth varies from 3-5" due to hog activity, dark zone is thicker downslope</t>
  </si>
  <si>
    <t>5% inclusions, 10YR 7/1 sand, 5% 10YR 3.5/1 diffuse lighter areas</t>
  </si>
  <si>
    <t>S7</t>
  </si>
  <si>
    <t>0+</t>
  </si>
  <si>
    <t>Oi</t>
  </si>
  <si>
    <t>Oa</t>
  </si>
  <si>
    <t>1-0</t>
  </si>
  <si>
    <t>0-1</t>
  </si>
  <si>
    <t>1-3</t>
  </si>
  <si>
    <t>3-12</t>
  </si>
  <si>
    <t>fibrous sphagnum</t>
  </si>
  <si>
    <t>muck, common fine roots</t>
  </si>
  <si>
    <t>15% pockets of mucky sand, few fine roots</t>
  </si>
  <si>
    <t>10% 10YR 4/1 diffuse depletions, 10% 10YR 6/1 diffuse depletions</t>
  </si>
  <si>
    <t>A8</t>
  </si>
  <si>
    <t>Holmberg, Hart, Richardson</t>
  </si>
  <si>
    <t>1-5</t>
  </si>
  <si>
    <t>5-9</t>
  </si>
  <si>
    <t>9-14</t>
  </si>
  <si>
    <t>14-33</t>
  </si>
  <si>
    <t>33-35</t>
  </si>
  <si>
    <t>6/1</t>
  </si>
  <si>
    <t>3/2</t>
  </si>
  <si>
    <t>60% masked, common fine roots</t>
  </si>
  <si>
    <t>50% 10YR 7/1, many fine roots</t>
  </si>
  <si>
    <t>10% 10YR 5/1 diffuse depletions, common fine roots</t>
  </si>
  <si>
    <t>20% 10YR 5/1 diffuse depletions, common fine roots</t>
  </si>
  <si>
    <t>40% 10YR 7/1 depletions, 5% 10YR 3/1 mottles, few roots</t>
  </si>
  <si>
    <t>75% masked, common fine roots, 5% 10YR 2/2 muck pockets @ surface</t>
  </si>
  <si>
    <t>65% masked, few fine roots</t>
  </si>
  <si>
    <t>10% 10YR 4/1 diffuse depletions, 10% 10YR 2/1 mottles, few fine roots</t>
  </si>
  <si>
    <t>15% 10YR 5/1 depletions, 20% 10YR 2/1 mottles</t>
  </si>
  <si>
    <t>1-4</t>
  </si>
  <si>
    <t>7.5YR</t>
  </si>
  <si>
    <t>5/1</t>
  </si>
  <si>
    <t>Muck</t>
  </si>
  <si>
    <t>common fine roots</t>
  </si>
  <si>
    <t>90% masked, few fine roots, 5% pockets of mucky sand</t>
  </si>
  <si>
    <t>70% masked, few fine roots</t>
  </si>
  <si>
    <t>10YR 2/1 diffuse and splotchy, mix of mottles and depletions 50/50</t>
  </si>
  <si>
    <t>25% 10YR 6/1 diffuse depletions</t>
  </si>
  <si>
    <t>Hart, Richardson, Holmberg</t>
  </si>
  <si>
    <t>A</t>
  </si>
  <si>
    <t>0-1.5</t>
  </si>
  <si>
    <t>1.5-5</t>
  </si>
  <si>
    <t>5-14</t>
  </si>
  <si>
    <t>N</t>
  </si>
  <si>
    <t>common firable aggregates, common f-m roots</t>
  </si>
  <si>
    <t>Mucky sand, 98% masked, common f-m roots</t>
  </si>
  <si>
    <t>common f-m roots, high carbon content</t>
  </si>
  <si>
    <t>Holmberg, Lindsey, Garrett-Kraus</t>
  </si>
  <si>
    <t>Significant hog damage</t>
  </si>
  <si>
    <t>Lat/Long from GPS-not available on survey</t>
  </si>
  <si>
    <t>Lat/Long from GPS-not available on survey, Point 3 not on survey-Stake may have been lost</t>
  </si>
  <si>
    <t>Hydric @ Surface, and Muck @ Surface; Lat/Long from GPS-not available on survey</t>
  </si>
  <si>
    <t xml:space="preserve">    --l&gt;    216      </t>
  </si>
  <si>
    <r>
      <t>3m</t>
    </r>
    <r>
      <rPr>
        <sz val="11"/>
        <color theme="1"/>
        <rFont val="Calibri"/>
        <family val="2"/>
      </rPr>
      <t>²</t>
    </r>
  </si>
  <si>
    <t xml:space="preserve">Wet prairie with Nyssa biflora and Cephalanthus occidentalis in the center. Hog foraging occurred/occuring. Pine flatwoods surrounding system; 3-year burn rotation per land manager. </t>
  </si>
  <si>
    <t>62-340.200(19); 62-340.300(2)(b), FAC</t>
  </si>
  <si>
    <r>
      <t xml:space="preserve"> &lt;l-- 56</t>
    </r>
    <r>
      <rPr>
        <sz val="11"/>
        <color theme="1"/>
        <rFont val="Calibri"/>
        <family val="2"/>
      </rPr>
      <t>˚</t>
    </r>
  </si>
  <si>
    <r>
      <t>1m</t>
    </r>
    <r>
      <rPr>
        <sz val="11"/>
        <color theme="1"/>
        <rFont val="Calibri"/>
        <family val="2"/>
      </rPr>
      <t>²</t>
    </r>
  </si>
  <si>
    <t>3m²</t>
  </si>
  <si>
    <t>1m²</t>
  </si>
  <si>
    <r>
      <t xml:space="preserve">    274</t>
    </r>
    <r>
      <rPr>
        <sz val="11"/>
        <color theme="1"/>
        <rFont val="Calibri"/>
        <family val="2"/>
      </rPr>
      <t>˚</t>
    </r>
    <r>
      <rPr>
        <sz val="9.9"/>
        <color theme="1"/>
        <rFont val="Calibri"/>
        <family val="2"/>
      </rPr>
      <t xml:space="preserve">  --l&gt;</t>
    </r>
  </si>
  <si>
    <t>Transect located on the east side of the wetland system</t>
  </si>
  <si>
    <t>62-340.200(19); 62-340.300 (2)(b)(d), FAC.</t>
  </si>
  <si>
    <t>elevated rhizomes extending into quad from uplands</t>
  </si>
  <si>
    <r>
      <t xml:space="preserve">  354</t>
    </r>
    <r>
      <rPr>
        <sz val="11"/>
        <color theme="1"/>
        <rFont val="Calibri"/>
        <family val="2"/>
      </rPr>
      <t>˚  --l&gt;</t>
    </r>
  </si>
  <si>
    <r>
      <t xml:space="preserve">  10</t>
    </r>
    <r>
      <rPr>
        <sz val="11"/>
        <color theme="1"/>
        <rFont val="Calibri"/>
        <family val="2"/>
      </rPr>
      <t>˚ --l&gt;</t>
    </r>
  </si>
  <si>
    <r>
      <t xml:space="preserve"> &lt;l--    164</t>
    </r>
    <r>
      <rPr>
        <sz val="11"/>
        <color theme="1"/>
        <rFont val="Calibri"/>
        <family val="2"/>
      </rPr>
      <t>˚</t>
    </r>
  </si>
  <si>
    <t>west side of wetland system. Possibly the recharge side of the wetland; high carbon content in the soil profiles.</t>
  </si>
  <si>
    <r>
      <t xml:space="preserve"> &lt;l--  340</t>
    </r>
    <r>
      <rPr>
        <sz val="11"/>
        <color theme="1"/>
        <rFont val="Calibri"/>
        <family val="2"/>
      </rPr>
      <t>˚</t>
    </r>
  </si>
  <si>
    <t xml:space="preserve">adventitious roots on the stems </t>
  </si>
  <si>
    <t>elevated rhizomes</t>
  </si>
  <si>
    <t xml:space="preserve">62-340.300(2)(d), FAC.
Boundary within projected lichen line elevations. 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</si>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</sst>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2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Wingdings 3"/>
      <family val="1"/>
      <charset val="2"/>
    </font>
    <font>
      <sz val="11"/>
      <color theme="1"/>
      <name val="Calibri"/>
      <family val="2"/>
      <charset val="2"/>
    </font>
    <font>
      <sz val="8"/>
      <color rgb="FF000000"/>
      <name val="Segoe U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.9"/>
      <color theme="1"/>
      <name val="Calibri"/>
      <family val="2"/>
    </font>
    <font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double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double">
        <color indexed="64"/>
      </right>
      <top/>
      <bottom style="thin">
        <color indexed="64"/>
      </bottom>
      <diagonal style="thin">
        <color indexed="64"/>
      </diagonal>
    </border>
    <border diagonalDown="1"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</borders>
  <cellStyleXfs count="62">
    <xf numFmtId="0" fontId="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Alignment="0" applyProtection="0"/>
  </cellStyleXfs>
  <cellXfs count="603">
    <xf numFmtId="0" fontId="0" fillId="0" borderId="0" xfId="0"/>
    <xf numFmtId="0" fontId="2" fillId="0" borderId="0" xfId="0" applyFont="1"/>
    <xf numFmtId="0" fontId="0" fillId="0" borderId="0" xfId="0" applyBorder="1"/>
    <xf numFmtId="0" fontId="1" fillId="2" borderId="0" xfId="0" applyFont="1" applyFill="1" applyBorder="1" applyAlignment="1"/>
    <xf numFmtId="0" fontId="4" fillId="3" borderId="1" xfId="0" applyFont="1" applyFill="1" applyBorder="1"/>
    <xf numFmtId="0" fontId="1" fillId="2" borderId="9" xfId="0" applyFont="1" applyFill="1" applyBorder="1" applyAlignment="1"/>
    <xf numFmtId="0" fontId="0" fillId="4" borderId="12" xfId="0" applyFill="1" applyBorder="1"/>
    <xf numFmtId="0" fontId="0" fillId="4" borderId="11" xfId="0" applyFill="1" applyBorder="1"/>
    <xf numFmtId="0" fontId="0" fillId="2" borderId="34" xfId="0" applyFill="1" applyBorder="1" applyAlignment="1"/>
    <xf numFmtId="0" fontId="0" fillId="2" borderId="44" xfId="0" applyFill="1" applyBorder="1" applyAlignment="1"/>
    <xf numFmtId="0" fontId="0" fillId="7" borderId="11" xfId="0" applyFill="1" applyBorder="1" applyAlignment="1"/>
    <xf numFmtId="0" fontId="7" fillId="6" borderId="26" xfId="0" applyFont="1" applyFill="1" applyBorder="1" applyAlignment="1"/>
    <xf numFmtId="0" fontId="0" fillId="0" borderId="0" xfId="0" applyFont="1"/>
    <xf numFmtId="0" fontId="0" fillId="3" borderId="13" xfId="0" applyFill="1" applyBorder="1"/>
    <xf numFmtId="0" fontId="0" fillId="3" borderId="14" xfId="0" applyFill="1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" fillId="3" borderId="47" xfId="0" applyFont="1" applyFill="1" applyBorder="1"/>
    <xf numFmtId="0" fontId="2" fillId="3" borderId="13" xfId="0" applyFon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1" applyFill="1" applyBorder="1" applyAlignment="1">
      <alignment horizontal="center" vertical="center"/>
    </xf>
    <xf numFmtId="0" fontId="2" fillId="2" borderId="22" xfId="0" applyFont="1" applyFill="1" applyBorder="1" applyAlignment="1"/>
    <xf numFmtId="0" fontId="2" fillId="2" borderId="44" xfId="0" applyFont="1" applyFill="1" applyBorder="1"/>
    <xf numFmtId="0" fontId="2" fillId="2" borderId="40" xfId="0" applyFont="1" applyFill="1" applyBorder="1"/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11" xfId="0" applyFont="1" applyFill="1" applyBorder="1" applyAlignment="1"/>
    <xf numFmtId="0" fontId="2" fillId="3" borderId="36" xfId="0" applyFont="1" applyFill="1" applyBorder="1" applyAlignment="1">
      <alignment wrapText="1"/>
    </xf>
    <xf numFmtId="0" fontId="2" fillId="3" borderId="37" xfId="0" applyFont="1" applyFill="1" applyBorder="1" applyAlignment="1">
      <alignment wrapText="1"/>
    </xf>
    <xf numFmtId="0" fontId="0" fillId="2" borderId="50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52" xfId="0" applyFont="1" applyFill="1" applyBorder="1" applyAlignment="1">
      <alignment vertical="center" wrapText="1"/>
    </xf>
    <xf numFmtId="0" fontId="0" fillId="2" borderId="33" xfId="0" applyFill="1" applyBorder="1" applyAlignment="1"/>
    <xf numFmtId="0" fontId="2" fillId="3" borderId="20" xfId="0" applyFont="1" applyFill="1" applyBorder="1" applyAlignment="1"/>
    <xf numFmtId="0" fontId="0" fillId="3" borderId="39" xfId="0" applyFill="1" applyBorder="1" applyAlignment="1"/>
    <xf numFmtId="0" fontId="4" fillId="3" borderId="33" xfId="0" applyFont="1" applyFill="1" applyBorder="1"/>
    <xf numFmtId="0" fontId="0" fillId="7" borderId="0" xfId="0" applyFill="1"/>
    <xf numFmtId="0" fontId="4" fillId="3" borderId="4" xfId="0" applyFont="1" applyFill="1" applyBorder="1"/>
    <xf numFmtId="0" fontId="4" fillId="3" borderId="30" xfId="0" applyFont="1" applyFill="1" applyBorder="1"/>
    <xf numFmtId="0" fontId="2" fillId="7" borderId="28" xfId="0" applyFont="1" applyFill="1" applyBorder="1" applyAlignment="1"/>
    <xf numFmtId="0" fontId="0" fillId="4" borderId="11" xfId="0" applyFill="1" applyBorder="1" applyAlignment="1"/>
    <xf numFmtId="0" fontId="0" fillId="4" borderId="9" xfId="0" applyFill="1" applyBorder="1" applyAlignment="1"/>
    <xf numFmtId="0" fontId="0" fillId="4" borderId="12" xfId="0" applyFill="1" applyBorder="1" applyAlignment="1"/>
    <xf numFmtId="0" fontId="0" fillId="7" borderId="28" xfId="0" applyFill="1" applyBorder="1" applyAlignment="1"/>
    <xf numFmtId="0" fontId="2" fillId="3" borderId="11" xfId="0" applyFont="1" applyFill="1" applyBorder="1" applyAlignment="1">
      <alignment vertical="top"/>
    </xf>
    <xf numFmtId="0" fontId="2" fillId="3" borderId="12" xfId="0" applyFont="1" applyFill="1" applyBorder="1" applyAlignment="1">
      <alignment vertical="top"/>
    </xf>
    <xf numFmtId="0" fontId="2" fillId="3" borderId="28" xfId="0" applyFont="1" applyFill="1" applyBorder="1" applyAlignment="1"/>
    <xf numFmtId="0" fontId="2" fillId="7" borderId="28" xfId="0" applyFont="1" applyFill="1" applyBorder="1" applyAlignment="1">
      <alignment vertical="top"/>
    </xf>
    <xf numFmtId="0" fontId="2" fillId="7" borderId="28" xfId="0" applyFont="1" applyFill="1" applyBorder="1"/>
    <xf numFmtId="0" fontId="2" fillId="7" borderId="57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58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0" fillId="7" borderId="58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left" vertical="center"/>
    </xf>
    <xf numFmtId="0" fontId="2" fillId="7" borderId="8" xfId="0" applyFont="1" applyFill="1" applyBorder="1" applyAlignment="1">
      <alignment horizontal="center" vertical="center"/>
    </xf>
    <xf numFmtId="0" fontId="0" fillId="7" borderId="59" xfId="0" applyFont="1" applyFill="1" applyBorder="1" applyAlignment="1">
      <alignment horizontal="center" vertical="center"/>
    </xf>
    <xf numFmtId="0" fontId="2" fillId="7" borderId="60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/>
    </xf>
    <xf numFmtId="0" fontId="0" fillId="2" borderId="44" xfId="0" applyFill="1" applyBorder="1" applyAlignment="1">
      <alignment vertical="center"/>
    </xf>
    <xf numFmtId="0" fontId="2" fillId="3" borderId="36" xfId="0" applyFont="1" applyFill="1" applyBorder="1" applyAlignment="1">
      <alignment horizontal="center" wrapText="1"/>
    </xf>
    <xf numFmtId="14" fontId="0" fillId="4" borderId="29" xfId="0" applyNumberFormat="1" applyFont="1" applyFill="1" applyBorder="1" applyAlignment="1">
      <alignment horizontal="left"/>
    </xf>
    <xf numFmtId="0" fontId="0" fillId="0" borderId="9" xfId="0" applyBorder="1" applyAlignment="1">
      <alignment horizontal="right" vertical="center" textRotation="90"/>
    </xf>
    <xf numFmtId="0" fontId="2" fillId="7" borderId="58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0" fontId="0" fillId="0" borderId="61" xfId="0" applyBorder="1" applyAlignment="1">
      <alignment horizontal="right" vertical="center" textRotation="90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14" fillId="2" borderId="1" xfId="0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2" borderId="0" xfId="0" applyFill="1" applyBorder="1"/>
    <xf numFmtId="0" fontId="0" fillId="0" borderId="13" xfId="0" applyBorder="1" applyAlignment="1">
      <alignment horizontal="left" vertical="top"/>
    </xf>
    <xf numFmtId="0" fontId="0" fillId="0" borderId="14" xfId="0" applyBorder="1" applyAlignment="1"/>
    <xf numFmtId="0" fontId="0" fillId="0" borderId="0" xfId="0" applyBorder="1" applyAlignment="1"/>
    <xf numFmtId="0" fontId="0" fillId="0" borderId="15" xfId="0" applyBorder="1" applyAlignment="1"/>
    <xf numFmtId="0" fontId="0" fillId="2" borderId="9" xfId="0" applyFill="1" applyBorder="1" applyAlignment="1">
      <alignment horizontal="center"/>
    </xf>
    <xf numFmtId="0" fontId="2" fillId="7" borderId="13" xfId="0" applyFont="1" applyFill="1" applyBorder="1" applyAlignment="1">
      <alignment vertical="top"/>
    </xf>
    <xf numFmtId="0" fontId="0" fillId="2" borderId="4" xfId="0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 vertical="center" wrapText="1"/>
    </xf>
    <xf numFmtId="0" fontId="0" fillId="2" borderId="66" xfId="0" applyFill="1" applyBorder="1" applyAlignment="1">
      <alignment horizontal="center"/>
    </xf>
    <xf numFmtId="0" fontId="2" fillId="3" borderId="70" xfId="0" applyFont="1" applyFill="1" applyBorder="1" applyAlignment="1">
      <alignment horizontal="center"/>
    </xf>
    <xf numFmtId="0" fontId="2" fillId="3" borderId="71" xfId="0" applyFont="1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72" xfId="0" applyFill="1" applyBorder="1" applyAlignment="1">
      <alignment horizontal="center"/>
    </xf>
    <xf numFmtId="0" fontId="0" fillId="2" borderId="73" xfId="0" applyFill="1" applyBorder="1" applyAlignment="1">
      <alignment horizontal="center"/>
    </xf>
    <xf numFmtId="0" fontId="0" fillId="2" borderId="7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7" borderId="7" xfId="0" applyFont="1" applyFill="1" applyBorder="1" applyAlignment="1">
      <alignment vertical="center"/>
    </xf>
    <xf numFmtId="0" fontId="0" fillId="2" borderId="4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7" xfId="0" applyFill="1" applyBorder="1" applyAlignment="1">
      <alignment horizontal="center"/>
    </xf>
    <xf numFmtId="0" fontId="0" fillId="2" borderId="78" xfId="0" applyFill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14" xfId="0" applyBorder="1"/>
    <xf numFmtId="0" fontId="0" fillId="0" borderId="15" xfId="0" applyBorder="1"/>
    <xf numFmtId="0" fontId="4" fillId="3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7" borderId="13" xfId="0" applyFill="1" applyBorder="1" applyAlignment="1"/>
    <xf numFmtId="0" fontId="7" fillId="6" borderId="47" xfId="0" applyFont="1" applyFill="1" applyBorder="1" applyAlignment="1"/>
    <xf numFmtId="0" fontId="0" fillId="0" borderId="28" xfId="0" applyFill="1" applyBorder="1" applyAlignment="1"/>
    <xf numFmtId="0" fontId="0" fillId="0" borderId="11" xfId="0" applyFill="1" applyBorder="1" applyAlignment="1"/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79" xfId="0" applyFill="1" applyBorder="1" applyAlignment="1"/>
    <xf numFmtId="0" fontId="0" fillId="2" borderId="43" xfId="0" applyFill="1" applyBorder="1" applyAlignment="1"/>
    <xf numFmtId="0" fontId="0" fillId="2" borderId="2" xfId="0" applyFill="1" applyBorder="1" applyAlignment="1"/>
    <xf numFmtId="0" fontId="0" fillId="2" borderId="39" xfId="0" applyFill="1" applyBorder="1" applyAlignment="1"/>
    <xf numFmtId="0" fontId="0" fillId="2" borderId="32" xfId="0" applyFill="1" applyBorder="1" applyAlignment="1"/>
    <xf numFmtId="0" fontId="0" fillId="2" borderId="1" xfId="0" applyFill="1" applyBorder="1" applyAlignment="1"/>
    <xf numFmtId="0" fontId="2" fillId="5" borderId="12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0" fillId="2" borderId="32" xfId="0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0" borderId="0" xfId="0" applyAlignment="1">
      <alignment textRotation="90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15" fillId="7" borderId="28" xfId="0" applyFont="1" applyFill="1" applyBorder="1" applyAlignment="1"/>
    <xf numFmtId="0" fontId="15" fillId="7" borderId="29" xfId="0" applyFont="1" applyFill="1" applyBorder="1" applyAlignment="1"/>
    <xf numFmtId="0" fontId="1" fillId="2" borderId="48" xfId="0" applyFont="1" applyFill="1" applyBorder="1" applyAlignment="1"/>
    <xf numFmtId="0" fontId="15" fillId="7" borderId="52" xfId="0" applyFont="1" applyFill="1" applyBorder="1" applyAlignment="1"/>
    <xf numFmtId="0" fontId="2" fillId="7" borderId="52" xfId="0" applyFont="1" applyFill="1" applyBorder="1" applyAlignment="1"/>
    <xf numFmtId="0" fontId="14" fillId="2" borderId="50" xfId="0" applyFont="1" applyFill="1" applyBorder="1" applyAlignment="1">
      <alignment horizontal="center" vertical="center"/>
    </xf>
    <xf numFmtId="0" fontId="0" fillId="2" borderId="50" xfId="0" quotePrefix="1" applyFill="1" applyBorder="1" applyAlignment="1">
      <alignment horizontal="center" vertical="top"/>
    </xf>
    <xf numFmtId="14" fontId="0" fillId="4" borderId="48" xfId="0" applyNumberFormat="1" applyFont="1" applyFill="1" applyBorder="1" applyAlignment="1"/>
    <xf numFmtId="49" fontId="0" fillId="2" borderId="38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2" borderId="42" xfId="0" applyNumberFormat="1" applyFill="1" applyBorder="1" applyAlignment="1">
      <alignment horizontal="center"/>
    </xf>
    <xf numFmtId="49" fontId="0" fillId="2" borderId="30" xfId="0" applyNumberFormat="1" applyFill="1" applyBorder="1" applyAlignment="1">
      <alignment horizontal="center"/>
    </xf>
    <xf numFmtId="0" fontId="2" fillId="3" borderId="35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top"/>
    </xf>
    <xf numFmtId="0" fontId="2" fillId="3" borderId="32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right"/>
    </xf>
    <xf numFmtId="0" fontId="2" fillId="4" borderId="11" xfId="0" applyFont="1" applyFill="1" applyBorder="1" applyAlignment="1">
      <alignment horizontal="right"/>
    </xf>
    <xf numFmtId="0" fontId="2" fillId="4" borderId="29" xfId="0" applyFont="1" applyFill="1" applyBorder="1" applyAlignment="1">
      <alignment horizontal="right"/>
    </xf>
    <xf numFmtId="0" fontId="0" fillId="2" borderId="34" xfId="0" applyFill="1" applyBorder="1" applyAlignment="1">
      <alignment horizontal="center"/>
    </xf>
    <xf numFmtId="0" fontId="0" fillId="2" borderId="34" xfId="0" applyFill="1" applyBorder="1"/>
    <xf numFmtId="0" fontId="2" fillId="3" borderId="19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2" fillId="3" borderId="34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7" borderId="0" xfId="0" applyFont="1" applyFill="1" applyBorder="1" applyAlignment="1">
      <alignment horizontal="right" vertical="top" wrapText="1"/>
    </xf>
    <xf numFmtId="0" fontId="2" fillId="7" borderId="9" xfId="0" applyFont="1" applyFill="1" applyBorder="1" applyAlignment="1">
      <alignment horizontal="right" vertical="top" wrapText="1"/>
    </xf>
    <xf numFmtId="0" fontId="2" fillId="3" borderId="33" xfId="0" applyFont="1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61" xfId="0" applyBorder="1" applyAlignment="1">
      <alignment horizontal="center" vertical="top" wrapText="1"/>
    </xf>
    <xf numFmtId="0" fontId="2" fillId="4" borderId="56" xfId="0" applyFont="1" applyFill="1" applyBorder="1" applyAlignment="1">
      <alignment horizontal="right"/>
    </xf>
    <xf numFmtId="0" fontId="2" fillId="5" borderId="26" xfId="0" applyFont="1" applyFill="1" applyBorder="1" applyAlignment="1">
      <alignment horizontal="right" vertical="center"/>
    </xf>
    <xf numFmtId="0" fontId="2" fillId="4" borderId="22" xfId="0" applyFont="1" applyFill="1" applyBorder="1" applyAlignment="1"/>
    <xf numFmtId="0" fontId="2" fillId="4" borderId="20" xfId="0" applyFont="1" applyFill="1" applyBorder="1" applyAlignment="1"/>
    <xf numFmtId="0" fontId="4" fillId="4" borderId="22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0" fontId="2" fillId="4" borderId="64" xfId="0" applyFont="1" applyFill="1" applyBorder="1" applyAlignment="1">
      <alignment horizontal="right"/>
    </xf>
    <xf numFmtId="0" fontId="0" fillId="4" borderId="83" xfId="0" applyFill="1" applyBorder="1"/>
    <xf numFmtId="0" fontId="2" fillId="2" borderId="2" xfId="0" applyFont="1" applyFill="1" applyBorder="1" applyAlignment="1">
      <alignment vertical="center" wrapText="1"/>
    </xf>
    <xf numFmtId="0" fontId="2" fillId="2" borderId="79" xfId="0" applyFont="1" applyFill="1" applyBorder="1"/>
    <xf numFmtId="0" fontId="2" fillId="7" borderId="56" xfId="0" applyFont="1" applyFill="1" applyBorder="1"/>
    <xf numFmtId="0" fontId="7" fillId="6" borderId="84" xfId="0" applyFont="1" applyFill="1" applyBorder="1" applyAlignment="1"/>
    <xf numFmtId="0" fontId="2" fillId="2" borderId="32" xfId="0" applyFont="1" applyFill="1" applyBorder="1" applyAlignment="1">
      <alignment vertical="center" wrapText="1"/>
    </xf>
    <xf numFmtId="0" fontId="2" fillId="4" borderId="85" xfId="0" applyFont="1" applyFill="1" applyBorder="1" applyAlignment="1">
      <alignment horizontal="right"/>
    </xf>
    <xf numFmtId="0" fontId="2" fillId="4" borderId="85" xfId="0" applyFont="1" applyFill="1" applyBorder="1" applyAlignment="1">
      <alignment horizontal="left"/>
    </xf>
    <xf numFmtId="0" fontId="2" fillId="3" borderId="32" xfId="0" applyFont="1" applyFill="1" applyBorder="1" applyAlignment="1"/>
    <xf numFmtId="0" fontId="0" fillId="7" borderId="12" xfId="0" applyFill="1" applyBorder="1" applyAlignment="1"/>
    <xf numFmtId="0" fontId="2" fillId="3" borderId="30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3" borderId="29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31" xfId="0" applyFont="1" applyFill="1" applyBorder="1" applyAlignment="1">
      <alignment horizontal="left"/>
    </xf>
    <xf numFmtId="0" fontId="0" fillId="2" borderId="87" xfId="0" applyFill="1" applyBorder="1" applyAlignment="1">
      <alignment horizontal="center"/>
    </xf>
    <xf numFmtId="0" fontId="0" fillId="2" borderId="88" xfId="0" applyFill="1" applyBorder="1" applyAlignment="1">
      <alignment horizontal="center"/>
    </xf>
    <xf numFmtId="0" fontId="0" fillId="2" borderId="89" xfId="0" applyFill="1" applyBorder="1" applyAlignment="1">
      <alignment horizontal="center"/>
    </xf>
    <xf numFmtId="0" fontId="0" fillId="2" borderId="90" xfId="0" applyFill="1" applyBorder="1" applyAlignment="1">
      <alignment horizontal="center"/>
    </xf>
    <xf numFmtId="0" fontId="0" fillId="2" borderId="91" xfId="0" applyFill="1" applyBorder="1" applyAlignment="1">
      <alignment horizontal="center"/>
    </xf>
    <xf numFmtId="0" fontId="2" fillId="4" borderId="94" xfId="0" applyFont="1" applyFill="1" applyBorder="1" applyAlignment="1">
      <alignment horizontal="right"/>
    </xf>
    <xf numFmtId="0" fontId="2" fillId="3" borderId="65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0" fillId="0" borderId="2" xfId="0" applyBorder="1" applyAlignment="1"/>
    <xf numFmtId="0" fontId="5" fillId="2" borderId="30" xfId="0" applyFont="1" applyFill="1" applyBorder="1" applyAlignment="1">
      <alignment horizontal="center" vertical="top"/>
    </xf>
    <xf numFmtId="0" fontId="4" fillId="4" borderId="22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 wrapText="1"/>
    </xf>
    <xf numFmtId="0" fontId="0" fillId="2" borderId="39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0" borderId="0" xfId="0" applyAlignment="1">
      <alignment textRotation="90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0" fillId="4" borderId="11" xfId="0" applyFill="1" applyBorder="1"/>
    <xf numFmtId="0" fontId="0" fillId="4" borderId="12" xfId="0" applyFill="1" applyBorder="1"/>
    <xf numFmtId="0" fontId="2" fillId="5" borderId="12" xfId="0" applyFont="1" applyFill="1" applyBorder="1" applyAlignment="1">
      <alignment horizontal="left" vertical="center"/>
    </xf>
    <xf numFmtId="0" fontId="0" fillId="2" borderId="9" xfId="0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2" borderId="0" xfId="0" applyFill="1" applyBorder="1"/>
    <xf numFmtId="0" fontId="2" fillId="3" borderId="30" xfId="0" applyFont="1" applyFill="1" applyBorder="1" applyAlignment="1">
      <alignment horizontal="center" vertical="center"/>
    </xf>
    <xf numFmtId="0" fontId="0" fillId="2" borderId="30" xfId="0" quotePrefix="1" applyFill="1" applyBorder="1" applyAlignment="1">
      <alignment horizontal="center" vertical="top"/>
    </xf>
    <xf numFmtId="0" fontId="1" fillId="2" borderId="29" xfId="0" applyFont="1" applyFill="1" applyBorder="1" applyAlignment="1"/>
    <xf numFmtId="0" fontId="1" fillId="2" borderId="82" xfId="0" applyFont="1" applyFill="1" applyBorder="1" applyAlignment="1"/>
    <xf numFmtId="0" fontId="2" fillId="4" borderId="28" xfId="0" applyFont="1" applyFill="1" applyBorder="1" applyAlignment="1">
      <alignment horizontal="right" vertical="center"/>
    </xf>
    <xf numFmtId="0" fontId="2" fillId="2" borderId="52" xfId="0" applyFont="1" applyFill="1" applyBorder="1" applyAlignment="1">
      <alignment horizontal="right" vertical="center" wrapText="1"/>
    </xf>
    <xf numFmtId="0" fontId="2" fillId="2" borderId="79" xfId="0" applyFont="1" applyFill="1" applyBorder="1" applyAlignment="1">
      <alignment horizontal="right"/>
    </xf>
    <xf numFmtId="0" fontId="2" fillId="2" borderId="44" xfId="0" applyFont="1" applyFill="1" applyBorder="1" applyAlignment="1">
      <alignment horizontal="right"/>
    </xf>
    <xf numFmtId="0" fontId="2" fillId="2" borderId="40" xfId="0" applyFont="1" applyFill="1" applyBorder="1" applyAlignment="1">
      <alignment horizontal="right"/>
    </xf>
    <xf numFmtId="0" fontId="0" fillId="4" borderId="29" xfId="0" applyFill="1" applyBorder="1" applyAlignment="1">
      <alignment horizontal="left" vertical="center"/>
    </xf>
    <xf numFmtId="0" fontId="2" fillId="4" borderId="12" xfId="0" applyFont="1" applyFill="1" applyBorder="1" applyAlignment="1"/>
    <xf numFmtId="0" fontId="2" fillId="4" borderId="12" xfId="0" applyFont="1" applyFill="1" applyBorder="1" applyAlignment="1">
      <alignment vertical="center"/>
    </xf>
    <xf numFmtId="0" fontId="17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2" fillId="3" borderId="30" xfId="0" applyFont="1" applyFill="1" applyBorder="1" applyAlignment="1">
      <alignment horizontal="left" vertical="center"/>
    </xf>
    <xf numFmtId="0" fontId="0" fillId="4" borderId="101" xfId="0" applyFill="1" applyBorder="1"/>
    <xf numFmtId="0" fontId="14" fillId="4" borderId="66" xfId="0" applyFont="1" applyFill="1" applyBorder="1" applyAlignment="1">
      <alignment horizontal="center" vertical="center"/>
    </xf>
    <xf numFmtId="49" fontId="0" fillId="2" borderId="32" xfId="0" applyNumberFormat="1" applyFill="1" applyBorder="1" applyAlignment="1">
      <alignment horizontal="center"/>
    </xf>
    <xf numFmtId="49" fontId="0" fillId="2" borderId="33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62" xfId="0" applyFill="1" applyBorder="1" applyAlignment="1">
      <alignment horizontal="left" vertical="top" wrapText="1"/>
    </xf>
    <xf numFmtId="14" fontId="0" fillId="4" borderId="29" xfId="0" applyNumberFormat="1" applyFill="1" applyBorder="1" applyAlignment="1">
      <alignment horizontal="left" vertical="center"/>
    </xf>
    <xf numFmtId="14" fontId="2" fillId="4" borderId="29" xfId="0" applyNumberFormat="1" applyFont="1" applyFill="1" applyBorder="1" applyAlignment="1">
      <alignment horizontal="left" vertical="center"/>
    </xf>
    <xf numFmtId="0" fontId="0" fillId="3" borderId="86" xfId="0" applyFill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left"/>
    </xf>
    <xf numFmtId="0" fontId="2" fillId="2" borderId="22" xfId="0" applyFont="1" applyFill="1" applyBorder="1" applyAlignment="1">
      <alignment horizontal="left"/>
    </xf>
    <xf numFmtId="0" fontId="2" fillId="2" borderId="20" xfId="0" applyFont="1" applyFill="1" applyBorder="1" applyAlignment="1">
      <alignment horizontal="left"/>
    </xf>
    <xf numFmtId="0" fontId="0" fillId="2" borderId="44" xfId="0" applyFill="1" applyBorder="1" applyAlignment="1">
      <alignment horizontal="left"/>
    </xf>
    <xf numFmtId="0" fontId="0" fillId="2" borderId="34" xfId="0" applyFill="1" applyBorder="1" applyAlignment="1">
      <alignment horizontal="left"/>
    </xf>
    <xf numFmtId="0" fontId="0" fillId="2" borderId="39" xfId="0" applyFill="1" applyBorder="1" applyAlignment="1">
      <alignment horizontal="left"/>
    </xf>
    <xf numFmtId="0" fontId="4" fillId="3" borderId="32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164" fontId="5" fillId="2" borderId="32" xfId="0" applyNumberFormat="1" applyFont="1" applyFill="1" applyBorder="1" applyAlignment="1">
      <alignment horizontal="center" vertical="top"/>
    </xf>
    <xf numFmtId="164" fontId="5" fillId="2" borderId="34" xfId="0" applyNumberFormat="1" applyFont="1" applyFill="1" applyBorder="1" applyAlignment="1">
      <alignment horizontal="center" vertical="top"/>
    </xf>
    <xf numFmtId="164" fontId="5" fillId="2" borderId="33" xfId="0" applyNumberFormat="1" applyFont="1" applyFill="1" applyBorder="1" applyAlignment="1">
      <alignment horizontal="center" vertical="top"/>
    </xf>
    <xf numFmtId="0" fontId="0" fillId="2" borderId="23" xfId="0" applyFont="1" applyFill="1" applyBorder="1" applyAlignment="1">
      <alignment horizontal="center"/>
    </xf>
    <xf numFmtId="0" fontId="0" fillId="2" borderId="24" xfId="0" applyFont="1" applyFill="1" applyBorder="1" applyAlignment="1">
      <alignment horizontal="center"/>
    </xf>
    <xf numFmtId="164" fontId="5" fillId="2" borderId="45" xfId="0" applyNumberFormat="1" applyFont="1" applyFill="1" applyBorder="1" applyAlignment="1">
      <alignment horizontal="center" vertical="top"/>
    </xf>
    <xf numFmtId="164" fontId="5" fillId="2" borderId="10" xfId="0" applyNumberFormat="1" applyFont="1" applyFill="1" applyBorder="1" applyAlignment="1">
      <alignment horizontal="center" vertical="top"/>
    </xf>
    <xf numFmtId="164" fontId="5" fillId="2" borderId="66" xfId="0" applyNumberFormat="1" applyFont="1" applyFill="1" applyBorder="1" applyAlignment="1">
      <alignment horizontal="center" vertical="top"/>
    </xf>
    <xf numFmtId="164" fontId="5" fillId="2" borderId="3" xfId="0" applyNumberFormat="1" applyFont="1" applyFill="1" applyBorder="1" applyAlignment="1">
      <alignment horizontal="center" vertical="top"/>
    </xf>
    <xf numFmtId="164" fontId="5" fillId="2" borderId="2" xfId="0" applyNumberFormat="1" applyFont="1" applyFill="1" applyBorder="1" applyAlignment="1">
      <alignment horizontal="center" vertical="top"/>
    </xf>
    <xf numFmtId="164" fontId="5" fillId="2" borderId="4" xfId="0" applyNumberFormat="1" applyFont="1" applyFill="1" applyBorder="1" applyAlignment="1">
      <alignment horizontal="center" vertical="top"/>
    </xf>
    <xf numFmtId="14" fontId="0" fillId="4" borderId="11" xfId="0" applyNumberFormat="1" applyFont="1" applyFill="1" applyBorder="1" applyAlignment="1">
      <alignment horizontal="left"/>
    </xf>
    <xf numFmtId="0" fontId="0" fillId="4" borderId="11" xfId="0" applyFont="1" applyFill="1" applyBorder="1" applyAlignment="1">
      <alignment horizontal="left"/>
    </xf>
    <xf numFmtId="0" fontId="0" fillId="4" borderId="12" xfId="0" applyFont="1" applyFill="1" applyBorder="1" applyAlignment="1">
      <alignment horizontal="left"/>
    </xf>
    <xf numFmtId="0" fontId="0" fillId="3" borderId="15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/>
    </xf>
    <xf numFmtId="0" fontId="2" fillId="5" borderId="80" xfId="0" applyFont="1" applyFill="1" applyBorder="1" applyAlignment="1">
      <alignment horizontal="left" vertical="center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14" fontId="0" fillId="4" borderId="29" xfId="0" applyNumberFormat="1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 vertical="center"/>
    </xf>
    <xf numFmtId="0" fontId="0" fillId="4" borderId="12" xfId="0" applyFont="1" applyFill="1" applyBorder="1" applyAlignment="1">
      <alignment horizontal="left" vertical="center"/>
    </xf>
    <xf numFmtId="0" fontId="0" fillId="4" borderId="47" xfId="0" applyFont="1" applyFill="1" applyBorder="1" applyAlignment="1">
      <alignment horizontal="left" vertical="top" wrapText="1"/>
    </xf>
    <xf numFmtId="0" fontId="0" fillId="4" borderId="13" xfId="0" applyFont="1" applyFill="1" applyBorder="1" applyAlignment="1">
      <alignment horizontal="left" vertical="top" wrapText="1"/>
    </xf>
    <xf numFmtId="0" fontId="0" fillId="4" borderId="14" xfId="0" applyFont="1" applyFill="1" applyBorder="1" applyAlignment="1">
      <alignment horizontal="left" vertical="top" wrapText="1"/>
    </xf>
    <xf numFmtId="0" fontId="0" fillId="4" borderId="48" xfId="0" applyFont="1" applyFill="1" applyBorder="1" applyAlignment="1">
      <alignment horizontal="left" vertical="top" wrapText="1"/>
    </xf>
    <xf numFmtId="0" fontId="0" fillId="4" borderId="9" xfId="0" applyFont="1" applyFill="1" applyBorder="1" applyAlignment="1">
      <alignment horizontal="left" vertical="top" wrapText="1"/>
    </xf>
    <xf numFmtId="0" fontId="0" fillId="4" borderId="49" xfId="0" applyFont="1" applyFill="1" applyBorder="1" applyAlignment="1">
      <alignment horizontal="left" vertical="top" wrapText="1"/>
    </xf>
    <xf numFmtId="0" fontId="2" fillId="5" borderId="29" xfId="0" applyFont="1" applyFill="1" applyBorder="1" applyAlignment="1">
      <alignment horizontal="center" vertical="center"/>
    </xf>
    <xf numFmtId="0" fontId="2" fillId="5" borderId="82" xfId="0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left"/>
    </xf>
    <xf numFmtId="0" fontId="12" fillId="7" borderId="29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2" fillId="4" borderId="64" xfId="0" applyFont="1" applyFill="1" applyBorder="1" applyAlignment="1">
      <alignment horizontal="right" vertical="center"/>
    </xf>
    <xf numFmtId="0" fontId="2" fillId="4" borderId="56" xfId="0" applyFont="1" applyFill="1" applyBorder="1" applyAlignment="1">
      <alignment horizontal="right" vertical="center"/>
    </xf>
    <xf numFmtId="0" fontId="12" fillId="7" borderId="11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0" fillId="2" borderId="15" xfId="0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49" fontId="0" fillId="2" borderId="19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 wrapText="1"/>
    </xf>
    <xf numFmtId="49" fontId="0" fillId="2" borderId="19" xfId="0" applyNumberFormat="1" applyFill="1" applyBorder="1" applyAlignment="1">
      <alignment horizontal="left" wrapText="1"/>
    </xf>
    <xf numFmtId="49" fontId="0" fillId="2" borderId="32" xfId="0" applyNumberFormat="1" applyFill="1" applyBorder="1" applyAlignment="1">
      <alignment horizontal="left"/>
    </xf>
    <xf numFmtId="49" fontId="0" fillId="2" borderId="34" xfId="0" applyNumberFormat="1" applyFill="1" applyBorder="1" applyAlignment="1">
      <alignment horizontal="left"/>
    </xf>
    <xf numFmtId="49" fontId="0" fillId="2" borderId="39" xfId="0" applyNumberFormat="1" applyFill="1" applyBorder="1" applyAlignment="1">
      <alignment horizontal="left"/>
    </xf>
    <xf numFmtId="0" fontId="2" fillId="4" borderId="11" xfId="0" applyFont="1" applyFill="1" applyBorder="1" applyAlignment="1">
      <alignment horizontal="left"/>
    </xf>
    <xf numFmtId="0" fontId="2" fillId="4" borderId="12" xfId="0" applyFont="1" applyFill="1" applyBorder="1" applyAlignment="1">
      <alignment horizontal="left"/>
    </xf>
    <xf numFmtId="0" fontId="4" fillId="4" borderId="5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0" fillId="4" borderId="64" xfId="0" applyFill="1" applyBorder="1" applyAlignment="1">
      <alignment horizontal="center" wrapText="1"/>
    </xf>
    <xf numFmtId="0" fontId="0" fillId="4" borderId="56" xfId="0" applyFill="1" applyBorder="1" applyAlignment="1">
      <alignment horizontal="center" wrapText="1"/>
    </xf>
    <xf numFmtId="0" fontId="0" fillId="4" borderId="3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23" xfId="0" quotePrefix="1" applyFill="1" applyBorder="1" applyAlignment="1">
      <alignment horizontal="center" vertical="top"/>
    </xf>
    <xf numFmtId="0" fontId="0" fillId="4" borderId="24" xfId="0" quotePrefix="1" applyFill="1" applyBorder="1" applyAlignment="1">
      <alignment horizontal="center" vertical="top"/>
    </xf>
    <xf numFmtId="0" fontId="0" fillId="4" borderId="43" xfId="0" applyFont="1" applyFill="1" applyBorder="1" applyAlignment="1">
      <alignment horizontal="center" vertical="top"/>
    </xf>
    <xf numFmtId="0" fontId="0" fillId="4" borderId="2" xfId="0" applyFont="1" applyFill="1" applyBorder="1" applyAlignment="1">
      <alignment horizontal="center" vertical="top"/>
    </xf>
    <xf numFmtId="0" fontId="0" fillId="4" borderId="25" xfId="0" applyFont="1" applyFill="1" applyBorder="1" applyAlignment="1">
      <alignment horizontal="center" vertical="top"/>
    </xf>
    <xf numFmtId="0" fontId="0" fillId="4" borderId="48" xfId="0" applyFont="1" applyFill="1" applyBorder="1" applyAlignment="1">
      <alignment horizontal="center" vertical="top"/>
    </xf>
    <xf numFmtId="0" fontId="0" fillId="4" borderId="9" xfId="0" applyFont="1" applyFill="1" applyBorder="1" applyAlignment="1">
      <alignment horizontal="center" vertical="top"/>
    </xf>
    <xf numFmtId="0" fontId="0" fillId="4" borderId="49" xfId="0" applyFont="1" applyFill="1" applyBorder="1" applyAlignment="1">
      <alignment horizontal="center" vertical="top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2" xfId="0" applyFill="1" applyBorder="1"/>
    <xf numFmtId="0" fontId="0" fillId="2" borderId="34" xfId="0" applyFill="1" applyBorder="1"/>
    <xf numFmtId="0" fontId="0" fillId="2" borderId="33" xfId="0" applyFill="1" applyBorder="1"/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49" fontId="0" fillId="2" borderId="32" xfId="0" applyNumberFormat="1" applyFill="1" applyBorder="1" applyAlignment="1">
      <alignment horizontal="center"/>
    </xf>
    <xf numFmtId="49" fontId="0" fillId="2" borderId="33" xfId="0" applyNumberFormat="1" applyFill="1" applyBorder="1" applyAlignment="1">
      <alignment horizontal="center"/>
    </xf>
    <xf numFmtId="0" fontId="0" fillId="4" borderId="4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4" borderId="49" xfId="0" applyFill="1" applyBorder="1" applyAlignment="1">
      <alignment horizontal="left" vertical="top" wrapText="1"/>
    </xf>
    <xf numFmtId="0" fontId="2" fillId="2" borderId="3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 vertical="center"/>
    </xf>
    <xf numFmtId="0" fontId="0" fillId="2" borderId="33" xfId="0" applyFill="1" applyBorder="1" applyAlignment="1">
      <alignment horizontal="left" vertical="center"/>
    </xf>
    <xf numFmtId="0" fontId="2" fillId="2" borderId="32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39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49" xfId="0" applyFont="1" applyFill="1" applyBorder="1" applyAlignment="1">
      <alignment horizontal="center" vertical="center" wrapText="1"/>
    </xf>
    <xf numFmtId="49" fontId="0" fillId="2" borderId="45" xfId="0" applyNumberFormat="1" applyFill="1" applyBorder="1" applyAlignment="1">
      <alignment horizontal="center"/>
    </xf>
    <xf numFmtId="49" fontId="0" fillId="2" borderId="66" xfId="0" applyNumberFormat="1" applyFill="1" applyBorder="1" applyAlignment="1">
      <alignment horizontal="center"/>
    </xf>
    <xf numFmtId="0" fontId="2" fillId="3" borderId="41" xfId="0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3" borderId="51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32" xfId="0" applyFont="1" applyFill="1" applyBorder="1" applyAlignment="1">
      <alignment horizontal="right" vertical="center" wrapText="1"/>
    </xf>
    <xf numFmtId="0" fontId="2" fillId="2" borderId="34" xfId="0" applyFont="1" applyFill="1" applyBorder="1" applyAlignment="1">
      <alignment horizontal="right" vertical="center" wrapText="1"/>
    </xf>
    <xf numFmtId="0" fontId="2" fillId="2" borderId="33" xfId="0" applyFont="1" applyFill="1" applyBorder="1" applyAlignment="1">
      <alignment horizontal="right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 wrapText="1"/>
    </xf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0" fontId="12" fillId="7" borderId="28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49" xfId="0" applyFont="1" applyFill="1" applyBorder="1" applyAlignment="1">
      <alignment horizontal="center"/>
    </xf>
    <xf numFmtId="0" fontId="0" fillId="2" borderId="32" xfId="0" applyFill="1" applyBorder="1" applyAlignment="1">
      <alignment horizontal="left"/>
    </xf>
    <xf numFmtId="0" fontId="2" fillId="3" borderId="36" xfId="0" applyFont="1" applyFill="1" applyBorder="1" applyAlignment="1">
      <alignment horizontal="center" vertical="center" wrapText="1"/>
    </xf>
    <xf numFmtId="0" fontId="2" fillId="3" borderId="31" xfId="0" applyFont="1" applyFill="1" applyBorder="1" applyAlignment="1">
      <alignment horizontal="center" vertical="center" wrapText="1"/>
    </xf>
    <xf numFmtId="0" fontId="2" fillId="3" borderId="46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49" xfId="0" applyFont="1" applyFill="1" applyBorder="1" applyAlignment="1">
      <alignment horizontal="left"/>
    </xf>
    <xf numFmtId="0" fontId="2" fillId="4" borderId="29" xfId="0" applyFont="1" applyFill="1" applyBorder="1" applyAlignment="1">
      <alignment horizontal="left"/>
    </xf>
    <xf numFmtId="0" fontId="2" fillId="3" borderId="36" xfId="0" applyFon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0" fillId="2" borderId="19" xfId="0" applyFill="1" applyBorder="1" applyAlignment="1">
      <alignment wrapText="1"/>
    </xf>
    <xf numFmtId="0" fontId="0" fillId="2" borderId="32" xfId="0" applyFill="1" applyBorder="1" applyAlignment="1">
      <alignment wrapText="1"/>
    </xf>
    <xf numFmtId="0" fontId="0" fillId="2" borderId="34" xfId="0" applyFill="1" applyBorder="1" applyAlignment="1">
      <alignment wrapText="1"/>
    </xf>
    <xf numFmtId="0" fontId="0" fillId="2" borderId="39" xfId="0" applyFill="1" applyBorder="1" applyAlignment="1">
      <alignment wrapText="1"/>
    </xf>
    <xf numFmtId="0" fontId="0" fillId="2" borderId="39" xfId="0" applyFill="1" applyBorder="1"/>
    <xf numFmtId="0" fontId="0" fillId="4" borderId="45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66" xfId="0" applyFill="1" applyBorder="1" applyAlignment="1">
      <alignment horizontal="left"/>
    </xf>
    <xf numFmtId="0" fontId="0" fillId="2" borderId="19" xfId="0" applyFill="1" applyBorder="1"/>
    <xf numFmtId="0" fontId="2" fillId="2" borderId="34" xfId="0" applyFont="1" applyFill="1" applyBorder="1" applyAlignment="1">
      <alignment horizontal="right" vertical="center"/>
    </xf>
    <xf numFmtId="0" fontId="2" fillId="2" borderId="33" xfId="0" applyFont="1" applyFill="1" applyBorder="1" applyAlignment="1">
      <alignment horizontal="right" vertical="center"/>
    </xf>
    <xf numFmtId="0" fontId="2" fillId="2" borderId="32" xfId="0" applyFont="1" applyFill="1" applyBorder="1" applyAlignment="1">
      <alignment horizontal="left" vertical="center" wrapText="1"/>
    </xf>
    <xf numFmtId="0" fontId="2" fillId="2" borderId="34" xfId="0" applyFont="1" applyFill="1" applyBorder="1" applyAlignment="1">
      <alignment horizontal="left" vertical="center" wrapText="1"/>
    </xf>
    <xf numFmtId="0" fontId="2" fillId="2" borderId="33" xfId="0" applyFont="1" applyFill="1" applyBorder="1" applyAlignment="1">
      <alignment horizontal="left" vertical="center" wrapText="1"/>
    </xf>
    <xf numFmtId="0" fontId="0" fillId="0" borderId="15" xfId="0" applyBorder="1" applyAlignment="1">
      <alignment horizontal="center"/>
    </xf>
    <xf numFmtId="0" fontId="10" fillId="2" borderId="10" xfId="61" applyFill="1" applyBorder="1" applyAlignment="1">
      <alignment horizontal="center"/>
    </xf>
    <xf numFmtId="0" fontId="0" fillId="2" borderId="2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76" xfId="0" applyFill="1" applyBorder="1" applyAlignment="1">
      <alignment horizontal="center" vertical="center"/>
    </xf>
    <xf numFmtId="0" fontId="2" fillId="7" borderId="13" xfId="0" applyFont="1" applyFill="1" applyBorder="1" applyAlignment="1">
      <alignment horizontal="right" vertical="top"/>
    </xf>
    <xf numFmtId="0" fontId="2" fillId="7" borderId="81" xfId="0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horizontal="center" vertical="top" wrapText="1"/>
    </xf>
    <xf numFmtId="0" fontId="2" fillId="7" borderId="93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2" fillId="7" borderId="0" xfId="0" applyFont="1" applyFill="1" applyBorder="1" applyAlignment="1">
      <alignment horizontal="center" vertical="top" wrapText="1"/>
    </xf>
    <xf numFmtId="0" fontId="2" fillId="7" borderId="8" xfId="0" applyFont="1" applyFill="1" applyBorder="1" applyAlignment="1">
      <alignment horizontal="center" vertical="top" wrapText="1"/>
    </xf>
    <xf numFmtId="0" fontId="2" fillId="7" borderId="17" xfId="0" applyFont="1" applyFill="1" applyBorder="1" applyAlignment="1">
      <alignment horizontal="center" vertical="top" wrapText="1"/>
    </xf>
    <xf numFmtId="0" fontId="2" fillId="7" borderId="9" xfId="0" applyFont="1" applyFill="1" applyBorder="1" applyAlignment="1">
      <alignment horizontal="center" vertical="top" wrapText="1"/>
    </xf>
    <xf numFmtId="0" fontId="2" fillId="7" borderId="18" xfId="0" applyFont="1" applyFill="1" applyBorder="1" applyAlignment="1">
      <alignment horizontal="center" vertical="top" wrapText="1"/>
    </xf>
    <xf numFmtId="0" fontId="2" fillId="7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3" xfId="0" applyBorder="1" applyAlignment="1">
      <alignment horizontal="center" textRotation="90"/>
    </xf>
    <xf numFmtId="0" fontId="0" fillId="0" borderId="0" xfId="0" applyBorder="1" applyAlignment="1">
      <alignment horizontal="center" textRotation="90"/>
    </xf>
    <xf numFmtId="0" fontId="0" fillId="0" borderId="0" xfId="0" applyBorder="1" applyAlignment="1">
      <alignment horizontal="center" wrapText="1"/>
    </xf>
    <xf numFmtId="0" fontId="2" fillId="7" borderId="0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61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 applyAlignment="1">
      <alignment horizontal="center"/>
    </xf>
    <xf numFmtId="0" fontId="10" fillId="2" borderId="44" xfId="61" applyFill="1" applyBorder="1" applyAlignment="1">
      <alignment horizontal="center"/>
    </xf>
    <xf numFmtId="0" fontId="10" fillId="2" borderId="33" xfId="61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67" xfId="0" applyFont="1" applyFill="1" applyBorder="1" applyAlignment="1">
      <alignment horizontal="center"/>
    </xf>
    <xf numFmtId="0" fontId="2" fillId="3" borderId="68" xfId="0" applyFont="1" applyFill="1" applyBorder="1" applyAlignment="1">
      <alignment horizontal="center"/>
    </xf>
    <xf numFmtId="0" fontId="2" fillId="3" borderId="69" xfId="0" applyFont="1" applyFill="1" applyBorder="1" applyAlignment="1">
      <alignment horizontal="center"/>
    </xf>
    <xf numFmtId="0" fontId="2" fillId="3" borderId="75" xfId="0" applyFont="1" applyFill="1" applyBorder="1" applyAlignment="1"/>
    <xf numFmtId="0" fontId="2" fillId="3" borderId="34" xfId="0" applyFont="1" applyFill="1" applyBorder="1" applyAlignment="1"/>
    <xf numFmtId="0" fontId="2" fillId="3" borderId="39" xfId="0" applyFont="1" applyFill="1" applyBorder="1" applyAlignment="1"/>
    <xf numFmtId="0" fontId="2" fillId="3" borderId="4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0" fillId="2" borderId="47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0" fillId="2" borderId="2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79" xfId="0" applyFill="1" applyBorder="1" applyAlignment="1">
      <alignment horizontal="left" vertical="top" wrapText="1"/>
    </xf>
    <xf numFmtId="0" fontId="0" fillId="2" borderId="62" xfId="0" applyFill="1" applyBorder="1" applyAlignment="1">
      <alignment horizontal="left" vertical="top" wrapText="1"/>
    </xf>
    <xf numFmtId="0" fontId="0" fillId="2" borderId="86" xfId="0" applyFill="1" applyBorder="1" applyAlignment="1">
      <alignment horizontal="left" vertical="top" wrapText="1"/>
    </xf>
    <xf numFmtId="0" fontId="0" fillId="2" borderId="95" xfId="0" applyFill="1" applyBorder="1" applyAlignment="1">
      <alignment horizontal="center"/>
    </xf>
    <xf numFmtId="0" fontId="0" fillId="2" borderId="96" xfId="0" applyFill="1" applyBorder="1" applyAlignment="1">
      <alignment horizontal="center"/>
    </xf>
    <xf numFmtId="0" fontId="0" fillId="2" borderId="97" xfId="0" applyFill="1" applyBorder="1" applyAlignment="1">
      <alignment horizontal="center"/>
    </xf>
    <xf numFmtId="0" fontId="0" fillId="2" borderId="98" xfId="0" applyFill="1" applyBorder="1" applyAlignment="1">
      <alignment horizontal="center"/>
    </xf>
    <xf numFmtId="0" fontId="0" fillId="2" borderId="99" xfId="0" applyFill="1" applyBorder="1" applyAlignment="1">
      <alignment horizontal="center"/>
    </xf>
    <xf numFmtId="0" fontId="0" fillId="2" borderId="100" xfId="0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30" xfId="0" applyFont="1" applyFill="1" applyBorder="1" applyAlignment="1">
      <alignment horizontal="right" vertical="center"/>
    </xf>
    <xf numFmtId="0" fontId="2" fillId="3" borderId="31" xfId="0" applyFont="1" applyFill="1" applyBorder="1" applyAlignment="1">
      <alignment horizontal="right" vertical="center"/>
    </xf>
    <xf numFmtId="0" fontId="0" fillId="2" borderId="0" xfId="0" applyFill="1" applyBorder="1" applyAlignment="1">
      <alignment horizontal="center" wrapText="1"/>
    </xf>
    <xf numFmtId="0" fontId="0" fillId="2" borderId="62" xfId="0" applyFill="1" applyBorder="1" applyAlignment="1">
      <alignment horizontal="center" wrapText="1"/>
    </xf>
    <xf numFmtId="0" fontId="0" fillId="7" borderId="28" xfId="0" applyFill="1" applyBorder="1" applyAlignment="1">
      <alignment horizontal="center"/>
    </xf>
    <xf numFmtId="0" fontId="0" fillId="7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29" xfId="0" applyFill="1" applyBorder="1"/>
    <xf numFmtId="0" fontId="0" fillId="4" borderId="11" xfId="0" applyFill="1" applyBorder="1"/>
    <xf numFmtId="0" fontId="2" fillId="3" borderId="5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2" fillId="7" borderId="92" xfId="0" applyFont="1" applyFill="1" applyBorder="1" applyAlignment="1">
      <alignment horizontal="center" vertical="top" wrapText="1"/>
    </xf>
    <xf numFmtId="0" fontId="2" fillId="7" borderId="61" xfId="0" applyFont="1" applyFill="1" applyBorder="1" applyAlignment="1">
      <alignment horizontal="center" vertical="top" wrapText="1"/>
    </xf>
    <xf numFmtId="0" fontId="2" fillId="7" borderId="60" xfId="0" applyFont="1" applyFill="1" applyBorder="1" applyAlignment="1">
      <alignment horizontal="center" vertical="top" wrapText="1"/>
    </xf>
    <xf numFmtId="0" fontId="2" fillId="7" borderId="9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3" xfId="0" applyBorder="1" applyAlignment="1">
      <alignment textRotation="90"/>
    </xf>
    <xf numFmtId="0" fontId="0" fillId="0" borderId="0" xfId="0" applyAlignment="1">
      <alignment textRotation="90"/>
    </xf>
    <xf numFmtId="0" fontId="2" fillId="3" borderId="33" xfId="0" applyFont="1" applyFill="1" applyBorder="1" applyAlignment="1">
      <alignment horizontal="center"/>
    </xf>
    <xf numFmtId="14" fontId="0" fillId="4" borderId="29" xfId="0" applyNumberFormat="1" applyFont="1" applyFill="1" applyBorder="1" applyAlignment="1">
      <alignment horizontal="left"/>
    </xf>
    <xf numFmtId="14" fontId="0" fillId="4" borderId="12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0" fillId="4" borderId="12" xfId="0" applyFill="1" applyBorder="1"/>
    <xf numFmtId="0" fontId="2" fillId="3" borderId="62" xfId="0" applyFont="1" applyFill="1" applyBorder="1" applyAlignment="1">
      <alignment horizontal="left" vertical="center"/>
    </xf>
    <xf numFmtId="0" fontId="0" fillId="2" borderId="18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0" borderId="7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2" fillId="4" borderId="29" xfId="0" applyFont="1" applyFill="1" applyBorder="1" applyAlignment="1">
      <alignment horizontal="left" vertical="center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0" fillId="0" borderId="0" xfId="0" applyBorder="1" applyAlignment="1">
      <alignment textRotation="90"/>
    </xf>
    <xf numFmtId="0" fontId="0" fillId="0" borderId="61" xfId="0" applyBorder="1" applyAlignment="1">
      <alignment horizontal="left" vertical="top"/>
    </xf>
    <xf numFmtId="0" fontId="0" fillId="0" borderId="63" xfId="0" applyBorder="1" applyAlignment="1">
      <alignment horizontal="left" vertical="top"/>
    </xf>
    <xf numFmtId="0" fontId="10" fillId="2" borderId="34" xfId="61" applyFill="1" applyBorder="1" applyAlignment="1">
      <alignment horizontal="center"/>
    </xf>
    <xf numFmtId="0" fontId="0" fillId="0" borderId="61" xfId="0" applyBorder="1" applyAlignment="1">
      <alignment horizontal="center" vertical="top" wrapText="1"/>
    </xf>
    <xf numFmtId="0" fontId="2" fillId="3" borderId="32" xfId="0" applyFont="1" applyFill="1" applyBorder="1" applyAlignment="1"/>
    <xf numFmtId="0" fontId="2" fillId="3" borderId="71" xfId="0" applyFont="1" applyFill="1" applyBorder="1" applyAlignment="1"/>
    <xf numFmtId="0" fontId="2" fillId="7" borderId="81" xfId="0" applyFont="1" applyFill="1" applyBorder="1" applyAlignment="1">
      <alignment horizontal="left" vertical="top" wrapText="1"/>
    </xf>
    <xf numFmtId="0" fontId="2" fillId="7" borderId="13" xfId="0" applyFont="1" applyFill="1" applyBorder="1" applyAlignment="1">
      <alignment horizontal="left" vertical="top" wrapText="1"/>
    </xf>
    <xf numFmtId="0" fontId="2" fillId="7" borderId="93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2" fillId="7" borderId="0" xfId="0" applyFont="1" applyFill="1" applyBorder="1" applyAlignment="1">
      <alignment horizontal="left" vertical="top" wrapText="1"/>
    </xf>
    <xf numFmtId="0" fontId="2" fillId="7" borderId="8" xfId="0" applyFont="1" applyFill="1" applyBorder="1" applyAlignment="1">
      <alignment horizontal="left" vertical="top" wrapText="1"/>
    </xf>
    <xf numFmtId="0" fontId="2" fillId="7" borderId="17" xfId="0" applyFont="1" applyFill="1" applyBorder="1" applyAlignment="1">
      <alignment horizontal="left" vertical="top" wrapText="1"/>
    </xf>
    <xf numFmtId="0" fontId="2" fillId="7" borderId="9" xfId="0" applyFont="1" applyFill="1" applyBorder="1" applyAlignment="1">
      <alignment horizontal="left" vertical="top" wrapText="1"/>
    </xf>
    <xf numFmtId="0" fontId="2" fillId="7" borderId="18" xfId="0" applyFont="1" applyFill="1" applyBorder="1" applyAlignment="1">
      <alignment horizontal="left" vertical="top" wrapText="1"/>
    </xf>
    <xf numFmtId="0" fontId="0" fillId="0" borderId="0" xfId="0" applyAlignment="1">
      <alignment horizontal="center" textRotation="90"/>
    </xf>
    <xf numFmtId="0" fontId="19" fillId="2" borderId="34" xfId="0" applyFont="1" applyFill="1" applyBorder="1" applyAlignment="1">
      <alignment horizontal="left"/>
    </xf>
    <xf numFmtId="0" fontId="19" fillId="2" borderId="39" xfId="0" applyFont="1" applyFill="1" applyBorder="1" applyAlignment="1">
      <alignment horizontal="left"/>
    </xf>
    <xf numFmtId="0" fontId="2" fillId="7" borderId="92" xfId="0" applyFont="1" applyFill="1" applyBorder="1" applyAlignment="1">
      <alignment horizontal="left" vertical="top" wrapText="1"/>
    </xf>
    <xf numFmtId="0" fontId="2" fillId="7" borderId="61" xfId="0" applyFont="1" applyFill="1" applyBorder="1" applyAlignment="1">
      <alignment horizontal="left" vertical="top" wrapText="1"/>
    </xf>
    <xf numFmtId="0" fontId="2" fillId="7" borderId="60" xfId="0" applyFont="1" applyFill="1" applyBorder="1" applyAlignment="1">
      <alignment horizontal="left" vertical="top" wrapText="1"/>
    </xf>
    <xf numFmtId="0" fontId="19" fillId="2" borderId="34" xfId="0" applyFont="1" applyFill="1" applyBorder="1"/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0" fillId="3" borderId="32" xfId="0" applyFill="1" applyBorder="1" applyAlignment="1">
      <alignment horizontal="left"/>
    </xf>
    <xf numFmtId="0" fontId="0" fillId="3" borderId="34" xfId="0" applyFill="1" applyBorder="1" applyAlignment="1">
      <alignment horizontal="left"/>
    </xf>
    <xf numFmtId="0" fontId="0" fillId="3" borderId="33" xfId="0" applyFill="1" applyBorder="1" applyAlignment="1">
      <alignment horizontal="left"/>
    </xf>
    <xf numFmtId="0" fontId="0" fillId="3" borderId="3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62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2" fillId="3" borderId="65" xfId="0" applyFont="1" applyFill="1" applyBorder="1" applyAlignment="1">
      <alignment horizontal="center" vertical="center"/>
    </xf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2" xfId="0" applyFill="1" applyBorder="1"/>
    <xf numFmtId="0" fontId="0" fillId="3" borderId="6" xfId="0" applyFill="1" applyBorder="1"/>
    <xf numFmtId="0" fontId="12" fillId="8" borderId="32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2" fillId="8" borderId="33" xfId="0" applyFont="1" applyFill="1" applyBorder="1" applyAlignment="1">
      <alignment horizontal="center"/>
    </xf>
    <xf numFmtId="0" fontId="16" fillId="4" borderId="32" xfId="0" applyFont="1" applyFill="1" applyBorder="1" applyAlignment="1">
      <alignment horizontal="left"/>
    </xf>
    <xf numFmtId="0" fontId="16" fillId="4" borderId="34" xfId="0" applyFont="1" applyFill="1" applyBorder="1" applyAlignment="1">
      <alignment horizontal="left"/>
    </xf>
    <xf numFmtId="0" fontId="16" fillId="4" borderId="33" xfId="0" applyFont="1" applyFill="1" applyBorder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0" fontId="2" fillId="2" borderId="65" xfId="0" applyFont="1" applyFill="1" applyBorder="1" applyAlignment="1">
      <alignment horizontal="center" vertical="center"/>
    </xf>
    <xf numFmtId="0" fontId="16" fillId="0" borderId="34" xfId="0" applyFont="1" applyFill="1" applyBorder="1" applyAlignment="1">
      <alignment horizontal="left"/>
    </xf>
    <xf numFmtId="0" fontId="16" fillId="0" borderId="33" xfId="0" applyFont="1" applyFill="1" applyBorder="1" applyAlignment="1">
      <alignment horizontal="left"/>
    </xf>
  </cellXfs>
  <cellStyles count="62">
    <cellStyle name="Hyperlink" xfId="61" builtinId="8"/>
    <cellStyle name="Normal" xfId="0" builtinId="0"/>
    <cellStyle name="Normal 2" xfId="1" xr:uid="{00000000-0005-0000-0000-000001000000}"/>
    <cellStyle name="Normal 2 2" xfId="2" xr:uid="{00000000-0005-0000-0000-000002000000}"/>
    <cellStyle name="Normal 2 2 2" xfId="8" xr:uid="{00000000-0005-0000-0000-000003000000}"/>
    <cellStyle name="Normal 2 2 2 2" xfId="14" xr:uid="{00000000-0005-0000-0000-000004000000}"/>
    <cellStyle name="Normal 2 2 2 3" xfId="26" xr:uid="{00000000-0005-0000-0000-000005000000}"/>
    <cellStyle name="Normal 2 2 2 3 2" xfId="38" xr:uid="{00000000-0005-0000-0000-000006000000}"/>
    <cellStyle name="Normal 2 2 2 3_Site Summary" xfId="47" xr:uid="{00000000-0005-0000-0000-000007000000}"/>
    <cellStyle name="Normal 2 2 2_Site Summary" xfId="48" xr:uid="{00000000-0005-0000-0000-000008000000}"/>
    <cellStyle name="Normal 2 2 3" xfId="20" xr:uid="{00000000-0005-0000-0000-000009000000}"/>
    <cellStyle name="Normal 2 2 3 2" xfId="32" xr:uid="{00000000-0005-0000-0000-00000A000000}"/>
    <cellStyle name="Normal 2 2 3_Site Summary" xfId="46" xr:uid="{00000000-0005-0000-0000-00000B000000}"/>
    <cellStyle name="Normal 2 3" xfId="3" xr:uid="{00000000-0005-0000-0000-00000C000000}"/>
    <cellStyle name="Normal 2 3 2" xfId="9" xr:uid="{00000000-0005-0000-0000-00000D000000}"/>
    <cellStyle name="Normal 2 3 2 2" xfId="15" xr:uid="{00000000-0005-0000-0000-00000E000000}"/>
    <cellStyle name="Normal 2 3 2 3" xfId="27" xr:uid="{00000000-0005-0000-0000-00000F000000}"/>
    <cellStyle name="Normal 2 3 2 3 2" xfId="39" xr:uid="{00000000-0005-0000-0000-000010000000}"/>
    <cellStyle name="Normal 2 3 2 3_Site Summary" xfId="44" xr:uid="{00000000-0005-0000-0000-000011000000}"/>
    <cellStyle name="Normal 2 3 2_Site Summary" xfId="45" xr:uid="{00000000-0005-0000-0000-000012000000}"/>
    <cellStyle name="Normal 2 3 3" xfId="21" xr:uid="{00000000-0005-0000-0000-000013000000}"/>
    <cellStyle name="Normal 2 3 3 2" xfId="33" xr:uid="{00000000-0005-0000-0000-000014000000}"/>
    <cellStyle name="Normal 2 3 3_Site Summary" xfId="43" xr:uid="{00000000-0005-0000-0000-000015000000}"/>
    <cellStyle name="Normal 2 4" xfId="4" xr:uid="{00000000-0005-0000-0000-000016000000}"/>
    <cellStyle name="Normal 2 4 2" xfId="10" xr:uid="{00000000-0005-0000-0000-000017000000}"/>
    <cellStyle name="Normal 2 4 2 2" xfId="16" xr:uid="{00000000-0005-0000-0000-000018000000}"/>
    <cellStyle name="Normal 2 4 2 3" xfId="28" xr:uid="{00000000-0005-0000-0000-000019000000}"/>
    <cellStyle name="Normal 2 4 2 3 2" xfId="40" xr:uid="{00000000-0005-0000-0000-00001A000000}"/>
    <cellStyle name="Normal 2 4 2 3_Site Summary" xfId="50" xr:uid="{00000000-0005-0000-0000-00001B000000}"/>
    <cellStyle name="Normal 2 4 2_Site Summary" xfId="49" xr:uid="{00000000-0005-0000-0000-00001C000000}"/>
    <cellStyle name="Normal 2 4 3" xfId="22" xr:uid="{00000000-0005-0000-0000-00001D000000}"/>
    <cellStyle name="Normal 2 4 3 2" xfId="34" xr:uid="{00000000-0005-0000-0000-00001E000000}"/>
    <cellStyle name="Normal 2 4 3_Site Summary" xfId="51" xr:uid="{00000000-0005-0000-0000-00001F000000}"/>
    <cellStyle name="Normal 2 5" xfId="5" xr:uid="{00000000-0005-0000-0000-000020000000}"/>
    <cellStyle name="Normal 2 5 2" xfId="11" xr:uid="{00000000-0005-0000-0000-000021000000}"/>
    <cellStyle name="Normal 2 5 2 2" xfId="17" xr:uid="{00000000-0005-0000-0000-000022000000}"/>
    <cellStyle name="Normal 2 5 2 3" xfId="29" xr:uid="{00000000-0005-0000-0000-000023000000}"/>
    <cellStyle name="Normal 2 5 2 3 2" xfId="41" xr:uid="{00000000-0005-0000-0000-000024000000}"/>
    <cellStyle name="Normal 2 5 2 3_Site Summary" xfId="53" xr:uid="{00000000-0005-0000-0000-000025000000}"/>
    <cellStyle name="Normal 2 5 2_Site Summary" xfId="52" xr:uid="{00000000-0005-0000-0000-000026000000}"/>
    <cellStyle name="Normal 2 5 3" xfId="23" xr:uid="{00000000-0005-0000-0000-000027000000}"/>
    <cellStyle name="Normal 2 5 3 2" xfId="35" xr:uid="{00000000-0005-0000-0000-000028000000}"/>
    <cellStyle name="Normal 2 5 3_Site Summary" xfId="54" xr:uid="{00000000-0005-0000-0000-000029000000}"/>
    <cellStyle name="Normal 2 6" xfId="6" xr:uid="{00000000-0005-0000-0000-00002A000000}"/>
    <cellStyle name="Normal 2 6 2" xfId="12" xr:uid="{00000000-0005-0000-0000-00002B000000}"/>
    <cellStyle name="Normal 2 6 2 2" xfId="18" xr:uid="{00000000-0005-0000-0000-00002C000000}"/>
    <cellStyle name="Normal 2 6 2 3" xfId="30" xr:uid="{00000000-0005-0000-0000-00002D000000}"/>
    <cellStyle name="Normal 2 6 2 3 2" xfId="42" xr:uid="{00000000-0005-0000-0000-00002E000000}"/>
    <cellStyle name="Normal 2 6 2 3_Site Summary" xfId="56" xr:uid="{00000000-0005-0000-0000-00002F000000}"/>
    <cellStyle name="Normal 2 6 2_Site Summary" xfId="55" xr:uid="{00000000-0005-0000-0000-000030000000}"/>
    <cellStyle name="Normal 2 6 3" xfId="24" xr:uid="{00000000-0005-0000-0000-000031000000}"/>
    <cellStyle name="Normal 2 6 3 2" xfId="36" xr:uid="{00000000-0005-0000-0000-000032000000}"/>
    <cellStyle name="Normal 2 6 3_Site Summary" xfId="57" xr:uid="{00000000-0005-0000-0000-000033000000}"/>
    <cellStyle name="Normal 3" xfId="7" xr:uid="{00000000-0005-0000-0000-000034000000}"/>
    <cellStyle name="Normal 3 2" xfId="13" xr:uid="{00000000-0005-0000-0000-000035000000}"/>
    <cellStyle name="Normal 3 3" xfId="25" xr:uid="{00000000-0005-0000-0000-000036000000}"/>
    <cellStyle name="Normal 3 3 2" xfId="37" xr:uid="{00000000-0005-0000-0000-000037000000}"/>
    <cellStyle name="Normal 3 3_Site Summary" xfId="59" xr:uid="{00000000-0005-0000-0000-000038000000}"/>
    <cellStyle name="Normal 3_Site Summary" xfId="58" xr:uid="{00000000-0005-0000-0000-000039000000}"/>
    <cellStyle name="Normal 4" xfId="19" xr:uid="{00000000-0005-0000-0000-00003A000000}"/>
    <cellStyle name="Normal 4 2" xfId="31" xr:uid="{00000000-0005-0000-0000-00003B000000}"/>
    <cellStyle name="Normal 4_Site Summary" xfId="60" xr:uid="{00000000-0005-0000-0000-00003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checked="Checked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checked="Checked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checked="Checked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checked="Checked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checked="Checked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checked="Checked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checked="Checked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checked="Checked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checked="Checked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checked="Checked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checked="Checked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checked="Checked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checked="Checked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checked="Checked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checked="Checked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9</xdr:col>
          <xdr:colOff>123825</xdr:colOff>
          <xdr:row>22</xdr:row>
          <xdr:rowOff>9525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9</xdr:col>
          <xdr:colOff>171450</xdr:colOff>
          <xdr:row>23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9</xdr:col>
          <xdr:colOff>152400</xdr:colOff>
          <xdr:row>24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9</xdr:col>
          <xdr:colOff>152400</xdr:colOff>
          <xdr:row>25</xdr:row>
          <xdr:rowOff>28575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9</xdr:col>
          <xdr:colOff>152400</xdr:colOff>
          <xdr:row>26</xdr:row>
          <xdr:rowOff>28575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9</xdr:col>
          <xdr:colOff>152400</xdr:colOff>
          <xdr:row>27</xdr:row>
          <xdr:rowOff>28575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9</xdr:col>
          <xdr:colOff>123825</xdr:colOff>
          <xdr:row>54</xdr:row>
          <xdr:rowOff>9525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9</xdr:col>
          <xdr:colOff>171450</xdr:colOff>
          <xdr:row>55</xdr:row>
          <xdr:rowOff>9525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9</xdr:col>
          <xdr:colOff>152400</xdr:colOff>
          <xdr:row>56</xdr:row>
          <xdr:rowOff>9525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9</xdr:col>
          <xdr:colOff>152400</xdr:colOff>
          <xdr:row>57</xdr:row>
          <xdr:rowOff>28575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9</xdr:col>
          <xdr:colOff>152400</xdr:colOff>
          <xdr:row>58</xdr:row>
          <xdr:rowOff>28575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9</xdr:col>
          <xdr:colOff>152400</xdr:colOff>
          <xdr:row>59</xdr:row>
          <xdr:rowOff>28575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9</xdr:col>
          <xdr:colOff>123825</xdr:colOff>
          <xdr:row>60</xdr:row>
          <xdr:rowOff>9525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9525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9</xdr:col>
          <xdr:colOff>123825</xdr:colOff>
          <xdr:row>86</xdr:row>
          <xdr:rowOff>9525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9</xdr:col>
          <xdr:colOff>171450</xdr:colOff>
          <xdr:row>87</xdr:row>
          <xdr:rowOff>9525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9</xdr:col>
          <xdr:colOff>152400</xdr:colOff>
          <xdr:row>88</xdr:row>
          <xdr:rowOff>9525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9</xdr:col>
          <xdr:colOff>152400</xdr:colOff>
          <xdr:row>89</xdr:row>
          <xdr:rowOff>28575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9</xdr:col>
          <xdr:colOff>152400</xdr:colOff>
          <xdr:row>90</xdr:row>
          <xdr:rowOff>28575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9</xdr:col>
          <xdr:colOff>152400</xdr:colOff>
          <xdr:row>91</xdr:row>
          <xdr:rowOff>28575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9</xdr:col>
          <xdr:colOff>123825</xdr:colOff>
          <xdr:row>92</xdr:row>
          <xdr:rowOff>9525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9</xdr:col>
          <xdr:colOff>123825</xdr:colOff>
          <xdr:row>28</xdr:row>
          <xdr:rowOff>28575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1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9</xdr:col>
          <xdr:colOff>200025</xdr:colOff>
          <xdr:row>29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1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457200</xdr:colOff>
          <xdr:row>61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1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542925</xdr:colOff>
          <xdr:row>93</xdr:row>
          <xdr:rowOff>9525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1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9525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1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1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1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1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1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1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9</xdr:col>
          <xdr:colOff>123825</xdr:colOff>
          <xdr:row>119</xdr:row>
          <xdr:rowOff>9525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9</xdr:col>
          <xdr:colOff>171450</xdr:colOff>
          <xdr:row>120</xdr:row>
          <xdr:rowOff>9525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1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9</xdr:col>
          <xdr:colOff>152400</xdr:colOff>
          <xdr:row>121</xdr:row>
          <xdr:rowOff>9525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1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9</xdr:col>
          <xdr:colOff>152400</xdr:colOff>
          <xdr:row>122</xdr:row>
          <xdr:rowOff>28575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1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9</xdr:col>
          <xdr:colOff>152400</xdr:colOff>
          <xdr:row>123</xdr:row>
          <xdr:rowOff>28575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1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9</xdr:col>
          <xdr:colOff>152400</xdr:colOff>
          <xdr:row>124</xdr:row>
          <xdr:rowOff>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1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1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114300</xdr:colOff>
          <xdr:row>125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1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9</xdr:col>
          <xdr:colOff>47625</xdr:colOff>
          <xdr:row>125</xdr:row>
          <xdr:rowOff>171450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1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2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2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2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2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2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2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2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2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695325</xdr:colOff>
          <xdr:row>22</xdr:row>
          <xdr:rowOff>9525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2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742950</xdr:colOff>
          <xdr:row>23</xdr:row>
          <xdr:rowOff>9525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2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723900</xdr:colOff>
          <xdr:row>24</xdr:row>
          <xdr:rowOff>9525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2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723900</xdr:colOff>
          <xdr:row>25</xdr:row>
          <xdr:rowOff>28575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2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723900</xdr:colOff>
          <xdr:row>26</xdr:row>
          <xdr:rowOff>28575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2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723900</xdr:colOff>
          <xdr:row>27</xdr:row>
          <xdr:rowOff>28575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2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2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2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2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2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2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2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695325</xdr:colOff>
          <xdr:row>54</xdr:row>
          <xdr:rowOff>9525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2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742950</xdr:colOff>
          <xdr:row>55</xdr:row>
          <xdr:rowOff>9525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2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723900</xdr:colOff>
          <xdr:row>56</xdr:row>
          <xdr:rowOff>9525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2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723900</xdr:colOff>
          <xdr:row>57</xdr:row>
          <xdr:rowOff>28575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2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723900</xdr:colOff>
          <xdr:row>58</xdr:row>
          <xdr:rowOff>28575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2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723900</xdr:colOff>
          <xdr:row>59</xdr:row>
          <xdr:rowOff>28575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2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695325</xdr:colOff>
          <xdr:row>60</xdr:row>
          <xdr:rowOff>9525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2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2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2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2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2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2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2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695325</xdr:colOff>
          <xdr:row>86</xdr:row>
          <xdr:rowOff>9525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2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742950</xdr:colOff>
          <xdr:row>87</xdr:row>
          <xdr:rowOff>9525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2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723900</xdr:colOff>
          <xdr:row>88</xdr:row>
          <xdr:rowOff>9525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2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723900</xdr:colOff>
          <xdr:row>89</xdr:row>
          <xdr:rowOff>28575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2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723900</xdr:colOff>
          <xdr:row>90</xdr:row>
          <xdr:rowOff>28575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2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723900</xdr:colOff>
          <xdr:row>91</xdr:row>
          <xdr:rowOff>28575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2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695325</xdr:colOff>
          <xdr:row>92</xdr:row>
          <xdr:rowOff>9525</xdr:rowOff>
        </xdr:to>
        <xdr:sp macro="" textlink="">
          <xdr:nvSpPr>
            <xdr:cNvPr id="48170" name="Check Box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2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8171" name="Check Box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2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8172" name="Check Box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2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8173" name="Check Box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2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8174" name="Check Box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2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8175" name="Check Box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2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8176" name="Check Box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2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8177" name="Check Box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2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8178" name="Check Box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2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8179" name="Check Box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2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8180" name="Check Box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2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8181" name="Check Box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2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8182" name="Check Box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2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8183" name="Check Box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2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8184" name="Check Box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2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8185" name="Check Box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2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8186" name="Check Box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2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8187" name="Check Box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2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8188" name="Check Box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2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8189" name="Check Box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2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8190" name="Check Box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2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8191" name="Check Box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2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8192" name="Check Box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2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8193" name="Check Box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2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8194" name="Check Box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2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8195" name="Check Box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2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8196" name="Check Box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2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8197" name="Check Box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2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8198" name="Check Box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2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8199" name="Check Box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2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695325</xdr:colOff>
          <xdr:row>28</xdr:row>
          <xdr:rowOff>28575</xdr:rowOff>
        </xdr:to>
        <xdr:sp macro="" textlink="">
          <xdr:nvSpPr>
            <xdr:cNvPr id="48200" name="Check Box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2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771525</xdr:colOff>
          <xdr:row>29</xdr:row>
          <xdr:rowOff>0</xdr:rowOff>
        </xdr:to>
        <xdr:sp macro="" textlink="">
          <xdr:nvSpPr>
            <xdr:cNvPr id="48201" name="Check Box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2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466725</xdr:colOff>
          <xdr:row>61</xdr:row>
          <xdr:rowOff>0</xdr:rowOff>
        </xdr:to>
        <xdr:sp macro="" textlink="">
          <xdr:nvSpPr>
            <xdr:cNvPr id="48202" name="Check Box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2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552450</xdr:colOff>
          <xdr:row>93</xdr:row>
          <xdr:rowOff>9525</xdr:rowOff>
        </xdr:to>
        <xdr:sp macro="" textlink="">
          <xdr:nvSpPr>
            <xdr:cNvPr id="48203" name="Check Box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2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8204" name="Check Box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2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8205" name="Check Box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2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8206" name="Check Box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2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8207" name="Check Box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2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8208" name="Check Box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2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8209" name="Check Box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2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695325</xdr:colOff>
          <xdr:row>119</xdr:row>
          <xdr:rowOff>9525</xdr:rowOff>
        </xdr:to>
        <xdr:sp macro="" textlink="">
          <xdr:nvSpPr>
            <xdr:cNvPr id="48210" name="Check Box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2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742950</xdr:colOff>
          <xdr:row>120</xdr:row>
          <xdr:rowOff>9525</xdr:rowOff>
        </xdr:to>
        <xdr:sp macro="" textlink="">
          <xdr:nvSpPr>
            <xdr:cNvPr id="48211" name="Check Box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2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723900</xdr:colOff>
          <xdr:row>121</xdr:row>
          <xdr:rowOff>9525</xdr:rowOff>
        </xdr:to>
        <xdr:sp macro="" textlink="">
          <xdr:nvSpPr>
            <xdr:cNvPr id="48212" name="Check Box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2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723900</xdr:colOff>
          <xdr:row>122</xdr:row>
          <xdr:rowOff>28575</xdr:rowOff>
        </xdr:to>
        <xdr:sp macro="" textlink="">
          <xdr:nvSpPr>
            <xdr:cNvPr id="48213" name="Check Box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2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723900</xdr:colOff>
          <xdr:row>123</xdr:row>
          <xdr:rowOff>28575</xdr:rowOff>
        </xdr:to>
        <xdr:sp macro="" textlink="">
          <xdr:nvSpPr>
            <xdr:cNvPr id="48214" name="Check Box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2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723900</xdr:colOff>
          <xdr:row>124</xdr:row>
          <xdr:rowOff>28575</xdr:rowOff>
        </xdr:to>
        <xdr:sp macro="" textlink="">
          <xdr:nvSpPr>
            <xdr:cNvPr id="48215" name="Check Box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2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8216" name="Check Box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2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8217" name="Check Box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2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8218" name="Check Box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2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8219" name="Check Box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2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8220" name="Check Box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2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8221" name="Check Box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2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8222" name="Check Box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2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8223" name="Check Box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2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8224" name="Check Box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2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8225" name="Check Box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2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8226" name="Check Box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2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123825</xdr:colOff>
          <xdr:row>125</xdr:row>
          <xdr:rowOff>0</xdr:rowOff>
        </xdr:to>
        <xdr:sp macro="" textlink="">
          <xdr:nvSpPr>
            <xdr:cNvPr id="48227" name="Check Box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2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619125</xdr:colOff>
          <xdr:row>125</xdr:row>
          <xdr:rowOff>171450</xdr:rowOff>
        </xdr:to>
        <xdr:sp macro="" textlink="">
          <xdr:nvSpPr>
            <xdr:cNvPr id="48228" name="Check Box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2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3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3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3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3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3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3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3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3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676275</xdr:colOff>
          <xdr:row>22</xdr:row>
          <xdr:rowOff>9525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3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723900</xdr:colOff>
          <xdr:row>23</xdr:row>
          <xdr:rowOff>9525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3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704850</xdr:colOff>
          <xdr:row>24</xdr:row>
          <xdr:rowOff>9525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3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704850</xdr:colOff>
          <xdr:row>25</xdr:row>
          <xdr:rowOff>28575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3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704850</xdr:colOff>
          <xdr:row>26</xdr:row>
          <xdr:rowOff>28575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3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704850</xdr:colOff>
          <xdr:row>27</xdr:row>
          <xdr:rowOff>28575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3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3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3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3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3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3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3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676275</xdr:colOff>
          <xdr:row>54</xdr:row>
          <xdr:rowOff>9525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3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723900</xdr:colOff>
          <xdr:row>55</xdr:row>
          <xdr:rowOff>9525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3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704850</xdr:colOff>
          <xdr:row>56</xdr:row>
          <xdr:rowOff>9525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3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704850</xdr:colOff>
          <xdr:row>57</xdr:row>
          <xdr:rowOff>28575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3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704850</xdr:colOff>
          <xdr:row>58</xdr:row>
          <xdr:rowOff>28575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3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704850</xdr:colOff>
          <xdr:row>59</xdr:row>
          <xdr:rowOff>28575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3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676275</xdr:colOff>
          <xdr:row>60</xdr:row>
          <xdr:rowOff>9525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3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3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3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3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3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3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3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676275</xdr:colOff>
          <xdr:row>86</xdr:row>
          <xdr:rowOff>9525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3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723900</xdr:colOff>
          <xdr:row>87</xdr:row>
          <xdr:rowOff>9525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3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704850</xdr:colOff>
          <xdr:row>88</xdr:row>
          <xdr:rowOff>9525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3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704850</xdr:colOff>
          <xdr:row>89</xdr:row>
          <xdr:rowOff>28575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3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704850</xdr:colOff>
          <xdr:row>90</xdr:row>
          <xdr:rowOff>28575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3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704850</xdr:colOff>
          <xdr:row>91</xdr:row>
          <xdr:rowOff>28575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3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676275</xdr:colOff>
          <xdr:row>92</xdr:row>
          <xdr:rowOff>9525</xdr:rowOff>
        </xdr:to>
        <xdr:sp macro="" textlink="">
          <xdr:nvSpPr>
            <xdr:cNvPr id="49194" name="Check Box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3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9195" name="Check Box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3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9196" name="Check Box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3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9197" name="Check Box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3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9198" name="Check Box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3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9199" name="Check Box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3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3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3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3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9203" name="Check Box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3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9204" name="Check Box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3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9205" name="Check Box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3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9206" name="Check Box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3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9207" name="Check Box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3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9208" name="Check Box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3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9209" name="Check Box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3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9210" name="Check Box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3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9211" name="Check Box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3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9212" name="Check Box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3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9213" name="Check Box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3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9214" name="Check Box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3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9215" name="Check Box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3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9216" name="Check Box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3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9217" name="Check Box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3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9218" name="Check Box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3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9219" name="Check Box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3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9220" name="Check Box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3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9221" name="Check Box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3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9222" name="Check Box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3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9223" name="Check Box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3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676275</xdr:colOff>
          <xdr:row>28</xdr:row>
          <xdr:rowOff>28575</xdr:rowOff>
        </xdr:to>
        <xdr:sp macro="" textlink="">
          <xdr:nvSpPr>
            <xdr:cNvPr id="49224" name="Check Box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3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752475</xdr:colOff>
          <xdr:row>29</xdr:row>
          <xdr:rowOff>0</xdr:rowOff>
        </xdr:to>
        <xdr:sp macro="" textlink="">
          <xdr:nvSpPr>
            <xdr:cNvPr id="49225" name="Check Box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3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447675</xdr:colOff>
          <xdr:row>61</xdr:row>
          <xdr:rowOff>0</xdr:rowOff>
        </xdr:to>
        <xdr:sp macro="" textlink="">
          <xdr:nvSpPr>
            <xdr:cNvPr id="49226" name="Check Box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3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533400</xdr:colOff>
          <xdr:row>93</xdr:row>
          <xdr:rowOff>9525</xdr:rowOff>
        </xdr:to>
        <xdr:sp macro="" textlink="">
          <xdr:nvSpPr>
            <xdr:cNvPr id="49227" name="Check Box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3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9228" name="Check Box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3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9229" name="Check Box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3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9230" name="Check Box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3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9231" name="Check Box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3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9232" name="Check Box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3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9233" name="Check Box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3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676275</xdr:colOff>
          <xdr:row>119</xdr:row>
          <xdr:rowOff>9525</xdr:rowOff>
        </xdr:to>
        <xdr:sp macro="" textlink="">
          <xdr:nvSpPr>
            <xdr:cNvPr id="49234" name="Check Box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3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723900</xdr:colOff>
          <xdr:row>120</xdr:row>
          <xdr:rowOff>9525</xdr:rowOff>
        </xdr:to>
        <xdr:sp macro="" textlink="">
          <xdr:nvSpPr>
            <xdr:cNvPr id="49235" name="Check Box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3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704850</xdr:colOff>
          <xdr:row>121</xdr:row>
          <xdr:rowOff>9525</xdr:rowOff>
        </xdr:to>
        <xdr:sp macro="" textlink="">
          <xdr:nvSpPr>
            <xdr:cNvPr id="49236" name="Check Box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3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704850</xdr:colOff>
          <xdr:row>122</xdr:row>
          <xdr:rowOff>28575</xdr:rowOff>
        </xdr:to>
        <xdr:sp macro="" textlink="">
          <xdr:nvSpPr>
            <xdr:cNvPr id="49237" name="Check Box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3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704850</xdr:colOff>
          <xdr:row>123</xdr:row>
          <xdr:rowOff>28575</xdr:rowOff>
        </xdr:to>
        <xdr:sp macro="" textlink="">
          <xdr:nvSpPr>
            <xdr:cNvPr id="49238" name="Check Box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3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704850</xdr:colOff>
          <xdr:row>124</xdr:row>
          <xdr:rowOff>28575</xdr:rowOff>
        </xdr:to>
        <xdr:sp macro="" textlink="">
          <xdr:nvSpPr>
            <xdr:cNvPr id="49239" name="Check Box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3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9240" name="Check Box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3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9241" name="Check Box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3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9242" name="Check Box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3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9243" name="Check Box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3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9244" name="Check Box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3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9245" name="Check Box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3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9246" name="Check Box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3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9247" name="Check Box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3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9248" name="Check Box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3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9249" name="Check Box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3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9250" name="Check Box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3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104775</xdr:colOff>
          <xdr:row>125</xdr:row>
          <xdr:rowOff>0</xdr:rowOff>
        </xdr:to>
        <xdr:sp macro="" textlink="">
          <xdr:nvSpPr>
            <xdr:cNvPr id="49251" name="Check Box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3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600075</xdr:colOff>
          <xdr:row>125</xdr:row>
          <xdr:rowOff>171450</xdr:rowOff>
        </xdr:to>
        <xdr:sp macro="" textlink="">
          <xdr:nvSpPr>
            <xdr:cNvPr id="49252" name="Check Box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3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19050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89</xdr:row>
          <xdr:rowOff>0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89</xdr:row>
          <xdr:rowOff>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161925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4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4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134</xdr:row>
          <xdr:rowOff>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4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134</xdr:row>
          <xdr:rowOff>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4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161925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4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4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4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4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182482</xdr:rowOff>
    </xdr:from>
    <xdr:to>
      <xdr:col>23</xdr:col>
      <xdr:colOff>9720</xdr:colOff>
      <xdr:row>44</xdr:row>
      <xdr:rowOff>178594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2068564" y="9993232"/>
          <a:ext cx="728469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44</xdr:row>
      <xdr:rowOff>145791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67169" y="10813791"/>
          <a:ext cx="95896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2576888" y="21829745"/>
          <a:ext cx="728954" cy="57344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701940</xdr:colOff>
      <xdr:row>89</xdr:row>
      <xdr:rowOff>147902</xdr:rowOff>
    </xdr:from>
    <xdr:to>
      <xdr:col>23</xdr:col>
      <xdr:colOff>49477</xdr:colOff>
      <xdr:row>90</xdr:row>
      <xdr:rowOff>64558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3105607" y="19773635"/>
          <a:ext cx="109537" cy="102923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2576888" y="32929286"/>
          <a:ext cx="728954" cy="583163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175689</xdr:colOff>
      <xdr:row>134</xdr:row>
      <xdr:rowOff>119063</xdr:rowOff>
    </xdr:from>
    <xdr:to>
      <xdr:col>22</xdr:col>
      <xdr:colOff>71436</xdr:colOff>
      <xdr:row>135</xdr:row>
      <xdr:rowOff>35719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flipH="1">
          <a:off x="12010502" y="31003876"/>
          <a:ext cx="110059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20532" y="106362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25789</xdr:colOff>
      <xdr:row>87</xdr:row>
      <xdr:rowOff>8969</xdr:rowOff>
    </xdr:from>
    <xdr:to>
      <xdr:col>22</xdr:col>
      <xdr:colOff>759020</xdr:colOff>
      <xdr:row>90</xdr:row>
      <xdr:rowOff>16934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2429456" y="19262169"/>
          <a:ext cx="733231" cy="56676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3461351" y="22014413"/>
          <a:ext cx="252705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3471071" y="10934311"/>
          <a:ext cx="242986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4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4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180</xdr:row>
          <xdr:rowOff>0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4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4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4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4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2080470" y="9921795"/>
          <a:ext cx="728469" cy="59142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2031388" y="10480416"/>
          <a:ext cx="87958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2974168" y="10111052"/>
          <a:ext cx="242986" cy="411481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45</xdr:row>
          <xdr:rowOff>0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5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5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5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89</xdr:row>
          <xdr:rowOff>0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5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89</xdr:row>
          <xdr:rowOff>0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5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5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5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90</xdr:row>
          <xdr:rowOff>200025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5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5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134</xdr:row>
          <xdr:rowOff>0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5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134</xdr:row>
          <xdr:rowOff>0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5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5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5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135</xdr:row>
          <xdr:rowOff>200025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5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5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42</xdr:row>
      <xdr:rowOff>3889</xdr:rowOff>
    </xdr:from>
    <xdr:to>
      <xdr:col>23</xdr:col>
      <xdr:colOff>9720</xdr:colOff>
      <xdr:row>45</xdr:row>
      <xdr:rowOff>11907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2440039" y="9574609"/>
          <a:ext cx="752281" cy="571898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154781</xdr:colOff>
      <xdr:row>44</xdr:row>
      <xdr:rowOff>142874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1739562" y="10548937"/>
          <a:ext cx="117847" cy="96223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154781</xdr:colOff>
      <xdr:row>89</xdr:row>
      <xdr:rowOff>129229</xdr:rowOff>
    </xdr:from>
    <xdr:to>
      <xdr:col>22</xdr:col>
      <xdr:colOff>107156</xdr:colOff>
      <xdr:row>90</xdr:row>
      <xdr:rowOff>71437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1739562" y="20798479"/>
          <a:ext cx="166688" cy="13270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680558</xdr:colOff>
      <xdr:row>134</xdr:row>
      <xdr:rowOff>146209</xdr:rowOff>
    </xdr:from>
    <xdr:to>
      <xdr:col>23</xdr:col>
      <xdr:colOff>99535</xdr:colOff>
      <xdr:row>135</xdr:row>
      <xdr:rowOff>62865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flipH="1">
          <a:off x="13101158" y="29627989"/>
          <a:ext cx="180977" cy="9953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5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5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180</xdr:row>
          <xdr:rowOff>0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5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5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5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5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1206856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1201471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296702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45</xdr:row>
          <xdr:rowOff>0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6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6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6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89</xdr:row>
          <xdr:rowOff>0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6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89</xdr:row>
          <xdr:rowOff>0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6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6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6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6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6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134</xdr:row>
          <xdr:rowOff>0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6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134</xdr:row>
          <xdr:rowOff>0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6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6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6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6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6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194388</xdr:rowOff>
    </xdr:from>
    <xdr:to>
      <xdr:col>23</xdr:col>
      <xdr:colOff>9720</xdr:colOff>
      <xdr:row>45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1792339" y="9833688"/>
          <a:ext cx="733231" cy="58666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681990</xdr:colOff>
      <xdr:row>44</xdr:row>
      <xdr:rowOff>134302</xdr:rowOff>
    </xdr:from>
    <xdr:to>
      <xdr:col>23</xdr:col>
      <xdr:colOff>81175</xdr:colOff>
      <xdr:row>45</xdr:row>
      <xdr:rowOff>63837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2950190" y="10086022"/>
          <a:ext cx="161185" cy="112415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476249</xdr:colOff>
      <xdr:row>89</xdr:row>
      <xdr:rowOff>117322</xdr:rowOff>
    </xdr:from>
    <xdr:to>
      <xdr:col>22</xdr:col>
      <xdr:colOff>71436</xdr:colOff>
      <xdr:row>90</xdr:row>
      <xdr:rowOff>83343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flipH="1">
          <a:off x="11810999" y="20786572"/>
          <a:ext cx="154781" cy="156521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488156</xdr:colOff>
      <xdr:row>134</xdr:row>
      <xdr:rowOff>107156</xdr:rowOff>
    </xdr:from>
    <xdr:to>
      <xdr:col>22</xdr:col>
      <xdr:colOff>58314</xdr:colOff>
      <xdr:row>135</xdr:row>
      <xdr:rowOff>59531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1822906" y="30991969"/>
          <a:ext cx="129752" cy="142875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6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6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180</xdr:row>
          <xdr:rowOff>0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6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6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6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6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204951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199566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294797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4.x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47" Type="http://schemas.openxmlformats.org/officeDocument/2006/relationships/ctrlProp" Target="../ctrlProps/ctrlProp145.xml"/><Relationship Id="rId50" Type="http://schemas.openxmlformats.org/officeDocument/2006/relationships/ctrlProp" Target="../ctrlProps/ctrlProp148.xml"/><Relationship Id="rId55" Type="http://schemas.openxmlformats.org/officeDocument/2006/relationships/ctrlProp" Target="../ctrlProps/ctrlProp153.xml"/><Relationship Id="rId63" Type="http://schemas.openxmlformats.org/officeDocument/2006/relationships/ctrlProp" Target="../ctrlProps/ctrlProp161.xml"/><Relationship Id="rId68" Type="http://schemas.openxmlformats.org/officeDocument/2006/relationships/ctrlProp" Target="../ctrlProps/ctrlProp166.xml"/><Relationship Id="rId76" Type="http://schemas.openxmlformats.org/officeDocument/2006/relationships/ctrlProp" Target="../ctrlProps/ctrlProp174.xml"/><Relationship Id="rId84" Type="http://schemas.openxmlformats.org/officeDocument/2006/relationships/ctrlProp" Target="../ctrlProps/ctrlProp182.xml"/><Relationship Id="rId89" Type="http://schemas.openxmlformats.org/officeDocument/2006/relationships/ctrlProp" Target="../ctrlProps/ctrlProp187.xml"/><Relationship Id="rId97" Type="http://schemas.openxmlformats.org/officeDocument/2006/relationships/ctrlProp" Target="../ctrlProps/ctrlProp195.xml"/><Relationship Id="rId7" Type="http://schemas.openxmlformats.org/officeDocument/2006/relationships/ctrlProp" Target="../ctrlProps/ctrlProp105.xml"/><Relationship Id="rId71" Type="http://schemas.openxmlformats.org/officeDocument/2006/relationships/ctrlProp" Target="../ctrlProps/ctrlProp169.xml"/><Relationship Id="rId92" Type="http://schemas.openxmlformats.org/officeDocument/2006/relationships/ctrlProp" Target="../ctrlProps/ctrlProp19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14.xml"/><Relationship Id="rId29" Type="http://schemas.openxmlformats.org/officeDocument/2006/relationships/ctrlProp" Target="../ctrlProps/ctrlProp127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45" Type="http://schemas.openxmlformats.org/officeDocument/2006/relationships/ctrlProp" Target="../ctrlProps/ctrlProp143.xml"/><Relationship Id="rId53" Type="http://schemas.openxmlformats.org/officeDocument/2006/relationships/ctrlProp" Target="../ctrlProps/ctrlProp151.xml"/><Relationship Id="rId58" Type="http://schemas.openxmlformats.org/officeDocument/2006/relationships/ctrlProp" Target="../ctrlProps/ctrlProp156.xml"/><Relationship Id="rId66" Type="http://schemas.openxmlformats.org/officeDocument/2006/relationships/ctrlProp" Target="../ctrlProps/ctrlProp164.xml"/><Relationship Id="rId74" Type="http://schemas.openxmlformats.org/officeDocument/2006/relationships/ctrlProp" Target="../ctrlProps/ctrlProp172.xml"/><Relationship Id="rId79" Type="http://schemas.openxmlformats.org/officeDocument/2006/relationships/ctrlProp" Target="../ctrlProps/ctrlProp177.xml"/><Relationship Id="rId87" Type="http://schemas.openxmlformats.org/officeDocument/2006/relationships/ctrlProp" Target="../ctrlProps/ctrlProp185.xml"/><Relationship Id="rId102" Type="http://schemas.openxmlformats.org/officeDocument/2006/relationships/ctrlProp" Target="../ctrlProps/ctrlProp200.xml"/><Relationship Id="rId5" Type="http://schemas.openxmlformats.org/officeDocument/2006/relationships/ctrlProp" Target="../ctrlProps/ctrlProp103.xml"/><Relationship Id="rId61" Type="http://schemas.openxmlformats.org/officeDocument/2006/relationships/ctrlProp" Target="../ctrlProps/ctrlProp159.xml"/><Relationship Id="rId82" Type="http://schemas.openxmlformats.org/officeDocument/2006/relationships/ctrlProp" Target="../ctrlProps/ctrlProp180.xml"/><Relationship Id="rId90" Type="http://schemas.openxmlformats.org/officeDocument/2006/relationships/ctrlProp" Target="../ctrlProps/ctrlProp188.xml"/><Relationship Id="rId95" Type="http://schemas.openxmlformats.org/officeDocument/2006/relationships/ctrlProp" Target="../ctrlProps/ctrlProp193.xml"/><Relationship Id="rId19" Type="http://schemas.openxmlformats.org/officeDocument/2006/relationships/ctrlProp" Target="../ctrlProps/ctrlProp11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Relationship Id="rId43" Type="http://schemas.openxmlformats.org/officeDocument/2006/relationships/ctrlProp" Target="../ctrlProps/ctrlProp141.xml"/><Relationship Id="rId48" Type="http://schemas.openxmlformats.org/officeDocument/2006/relationships/ctrlProp" Target="../ctrlProps/ctrlProp146.xml"/><Relationship Id="rId56" Type="http://schemas.openxmlformats.org/officeDocument/2006/relationships/ctrlProp" Target="../ctrlProps/ctrlProp154.xml"/><Relationship Id="rId64" Type="http://schemas.openxmlformats.org/officeDocument/2006/relationships/ctrlProp" Target="../ctrlProps/ctrlProp162.xml"/><Relationship Id="rId69" Type="http://schemas.openxmlformats.org/officeDocument/2006/relationships/ctrlProp" Target="../ctrlProps/ctrlProp167.xml"/><Relationship Id="rId77" Type="http://schemas.openxmlformats.org/officeDocument/2006/relationships/ctrlProp" Target="../ctrlProps/ctrlProp175.xml"/><Relationship Id="rId100" Type="http://schemas.openxmlformats.org/officeDocument/2006/relationships/ctrlProp" Target="../ctrlProps/ctrlProp198.xml"/><Relationship Id="rId8" Type="http://schemas.openxmlformats.org/officeDocument/2006/relationships/ctrlProp" Target="../ctrlProps/ctrlProp106.xml"/><Relationship Id="rId51" Type="http://schemas.openxmlformats.org/officeDocument/2006/relationships/ctrlProp" Target="../ctrlProps/ctrlProp149.xml"/><Relationship Id="rId72" Type="http://schemas.openxmlformats.org/officeDocument/2006/relationships/ctrlProp" Target="../ctrlProps/ctrlProp170.xml"/><Relationship Id="rId80" Type="http://schemas.openxmlformats.org/officeDocument/2006/relationships/ctrlProp" Target="../ctrlProps/ctrlProp178.xml"/><Relationship Id="rId85" Type="http://schemas.openxmlformats.org/officeDocument/2006/relationships/ctrlProp" Target="../ctrlProps/ctrlProp183.xml"/><Relationship Id="rId93" Type="http://schemas.openxmlformats.org/officeDocument/2006/relationships/ctrlProp" Target="../ctrlProps/ctrlProp191.xml"/><Relationship Id="rId98" Type="http://schemas.openxmlformats.org/officeDocument/2006/relationships/ctrlProp" Target="../ctrlProps/ctrlProp196.xml"/><Relationship Id="rId3" Type="http://schemas.openxmlformats.org/officeDocument/2006/relationships/ctrlProp" Target="../ctrlProps/ctrlProp101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46" Type="http://schemas.openxmlformats.org/officeDocument/2006/relationships/ctrlProp" Target="../ctrlProps/ctrlProp144.xml"/><Relationship Id="rId59" Type="http://schemas.openxmlformats.org/officeDocument/2006/relationships/ctrlProp" Target="../ctrlProps/ctrlProp157.xml"/><Relationship Id="rId67" Type="http://schemas.openxmlformats.org/officeDocument/2006/relationships/ctrlProp" Target="../ctrlProps/ctrlProp165.xml"/><Relationship Id="rId20" Type="http://schemas.openxmlformats.org/officeDocument/2006/relationships/ctrlProp" Target="../ctrlProps/ctrlProp118.xml"/><Relationship Id="rId41" Type="http://schemas.openxmlformats.org/officeDocument/2006/relationships/ctrlProp" Target="../ctrlProps/ctrlProp139.xml"/><Relationship Id="rId54" Type="http://schemas.openxmlformats.org/officeDocument/2006/relationships/ctrlProp" Target="../ctrlProps/ctrlProp152.xml"/><Relationship Id="rId62" Type="http://schemas.openxmlformats.org/officeDocument/2006/relationships/ctrlProp" Target="../ctrlProps/ctrlProp160.xml"/><Relationship Id="rId70" Type="http://schemas.openxmlformats.org/officeDocument/2006/relationships/ctrlProp" Target="../ctrlProps/ctrlProp168.xml"/><Relationship Id="rId75" Type="http://schemas.openxmlformats.org/officeDocument/2006/relationships/ctrlProp" Target="../ctrlProps/ctrlProp173.xml"/><Relationship Id="rId83" Type="http://schemas.openxmlformats.org/officeDocument/2006/relationships/ctrlProp" Target="../ctrlProps/ctrlProp181.xml"/><Relationship Id="rId88" Type="http://schemas.openxmlformats.org/officeDocument/2006/relationships/ctrlProp" Target="../ctrlProps/ctrlProp186.xml"/><Relationship Id="rId91" Type="http://schemas.openxmlformats.org/officeDocument/2006/relationships/ctrlProp" Target="../ctrlProps/ctrlProp189.xml"/><Relationship Id="rId96" Type="http://schemas.openxmlformats.org/officeDocument/2006/relationships/ctrlProp" Target="../ctrlProps/ctrlProp19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4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49" Type="http://schemas.openxmlformats.org/officeDocument/2006/relationships/ctrlProp" Target="../ctrlProps/ctrlProp147.xml"/><Relationship Id="rId57" Type="http://schemas.openxmlformats.org/officeDocument/2006/relationships/ctrlProp" Target="../ctrlProps/ctrlProp155.xml"/><Relationship Id="rId10" Type="http://schemas.openxmlformats.org/officeDocument/2006/relationships/ctrlProp" Target="../ctrlProps/ctrlProp108.xml"/><Relationship Id="rId31" Type="http://schemas.openxmlformats.org/officeDocument/2006/relationships/ctrlProp" Target="../ctrlProps/ctrlProp129.xml"/><Relationship Id="rId44" Type="http://schemas.openxmlformats.org/officeDocument/2006/relationships/ctrlProp" Target="../ctrlProps/ctrlProp142.xml"/><Relationship Id="rId52" Type="http://schemas.openxmlformats.org/officeDocument/2006/relationships/ctrlProp" Target="../ctrlProps/ctrlProp150.xml"/><Relationship Id="rId60" Type="http://schemas.openxmlformats.org/officeDocument/2006/relationships/ctrlProp" Target="../ctrlProps/ctrlProp158.xml"/><Relationship Id="rId65" Type="http://schemas.openxmlformats.org/officeDocument/2006/relationships/ctrlProp" Target="../ctrlProps/ctrlProp163.xml"/><Relationship Id="rId73" Type="http://schemas.openxmlformats.org/officeDocument/2006/relationships/ctrlProp" Target="../ctrlProps/ctrlProp171.xml"/><Relationship Id="rId78" Type="http://schemas.openxmlformats.org/officeDocument/2006/relationships/ctrlProp" Target="../ctrlProps/ctrlProp176.xml"/><Relationship Id="rId81" Type="http://schemas.openxmlformats.org/officeDocument/2006/relationships/ctrlProp" Target="../ctrlProps/ctrlProp179.xml"/><Relationship Id="rId86" Type="http://schemas.openxmlformats.org/officeDocument/2006/relationships/ctrlProp" Target="../ctrlProps/ctrlProp184.xml"/><Relationship Id="rId94" Type="http://schemas.openxmlformats.org/officeDocument/2006/relationships/ctrlProp" Target="../ctrlProps/ctrlProp192.xml"/><Relationship Id="rId99" Type="http://schemas.openxmlformats.org/officeDocument/2006/relationships/ctrlProp" Target="../ctrlProps/ctrlProp197.xml"/><Relationship Id="rId101" Type="http://schemas.openxmlformats.org/officeDocument/2006/relationships/ctrlProp" Target="../ctrlProps/ctrlProp19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39" Type="http://schemas.openxmlformats.org/officeDocument/2006/relationships/ctrlProp" Target="../ctrlProps/ctrlProp137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4.xml"/><Relationship Id="rId21" Type="http://schemas.openxmlformats.org/officeDocument/2006/relationships/ctrlProp" Target="../ctrlProps/ctrlProp219.xml"/><Relationship Id="rId34" Type="http://schemas.openxmlformats.org/officeDocument/2006/relationships/ctrlProp" Target="../ctrlProps/ctrlProp232.xml"/><Relationship Id="rId42" Type="http://schemas.openxmlformats.org/officeDocument/2006/relationships/ctrlProp" Target="../ctrlProps/ctrlProp240.xml"/><Relationship Id="rId47" Type="http://schemas.openxmlformats.org/officeDocument/2006/relationships/ctrlProp" Target="../ctrlProps/ctrlProp245.xml"/><Relationship Id="rId50" Type="http://schemas.openxmlformats.org/officeDocument/2006/relationships/ctrlProp" Target="../ctrlProps/ctrlProp248.xml"/><Relationship Id="rId55" Type="http://schemas.openxmlformats.org/officeDocument/2006/relationships/ctrlProp" Target="../ctrlProps/ctrlProp253.xml"/><Relationship Id="rId63" Type="http://schemas.openxmlformats.org/officeDocument/2006/relationships/ctrlProp" Target="../ctrlProps/ctrlProp261.xml"/><Relationship Id="rId68" Type="http://schemas.openxmlformats.org/officeDocument/2006/relationships/ctrlProp" Target="../ctrlProps/ctrlProp266.xml"/><Relationship Id="rId76" Type="http://schemas.openxmlformats.org/officeDocument/2006/relationships/ctrlProp" Target="../ctrlProps/ctrlProp274.xml"/><Relationship Id="rId84" Type="http://schemas.openxmlformats.org/officeDocument/2006/relationships/ctrlProp" Target="../ctrlProps/ctrlProp282.xml"/><Relationship Id="rId89" Type="http://schemas.openxmlformats.org/officeDocument/2006/relationships/ctrlProp" Target="../ctrlProps/ctrlProp287.xml"/><Relationship Id="rId97" Type="http://schemas.openxmlformats.org/officeDocument/2006/relationships/ctrlProp" Target="../ctrlProps/ctrlProp295.xml"/><Relationship Id="rId7" Type="http://schemas.openxmlformats.org/officeDocument/2006/relationships/ctrlProp" Target="../ctrlProps/ctrlProp205.xml"/><Relationship Id="rId71" Type="http://schemas.openxmlformats.org/officeDocument/2006/relationships/ctrlProp" Target="../ctrlProps/ctrlProp269.xml"/><Relationship Id="rId92" Type="http://schemas.openxmlformats.org/officeDocument/2006/relationships/ctrlProp" Target="../ctrlProps/ctrlProp290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4.xml"/><Relationship Id="rId29" Type="http://schemas.openxmlformats.org/officeDocument/2006/relationships/ctrlProp" Target="../ctrlProps/ctrlProp227.xml"/><Relationship Id="rId11" Type="http://schemas.openxmlformats.org/officeDocument/2006/relationships/ctrlProp" Target="../ctrlProps/ctrlProp209.xml"/><Relationship Id="rId24" Type="http://schemas.openxmlformats.org/officeDocument/2006/relationships/ctrlProp" Target="../ctrlProps/ctrlProp222.xml"/><Relationship Id="rId32" Type="http://schemas.openxmlformats.org/officeDocument/2006/relationships/ctrlProp" Target="../ctrlProps/ctrlProp230.xml"/><Relationship Id="rId37" Type="http://schemas.openxmlformats.org/officeDocument/2006/relationships/ctrlProp" Target="../ctrlProps/ctrlProp235.xml"/><Relationship Id="rId40" Type="http://schemas.openxmlformats.org/officeDocument/2006/relationships/ctrlProp" Target="../ctrlProps/ctrlProp238.xml"/><Relationship Id="rId45" Type="http://schemas.openxmlformats.org/officeDocument/2006/relationships/ctrlProp" Target="../ctrlProps/ctrlProp243.xml"/><Relationship Id="rId53" Type="http://schemas.openxmlformats.org/officeDocument/2006/relationships/ctrlProp" Target="../ctrlProps/ctrlProp251.xml"/><Relationship Id="rId58" Type="http://schemas.openxmlformats.org/officeDocument/2006/relationships/ctrlProp" Target="../ctrlProps/ctrlProp256.xml"/><Relationship Id="rId66" Type="http://schemas.openxmlformats.org/officeDocument/2006/relationships/ctrlProp" Target="../ctrlProps/ctrlProp264.xml"/><Relationship Id="rId74" Type="http://schemas.openxmlformats.org/officeDocument/2006/relationships/ctrlProp" Target="../ctrlProps/ctrlProp272.xml"/><Relationship Id="rId79" Type="http://schemas.openxmlformats.org/officeDocument/2006/relationships/ctrlProp" Target="../ctrlProps/ctrlProp277.xml"/><Relationship Id="rId87" Type="http://schemas.openxmlformats.org/officeDocument/2006/relationships/ctrlProp" Target="../ctrlProps/ctrlProp285.xml"/><Relationship Id="rId102" Type="http://schemas.openxmlformats.org/officeDocument/2006/relationships/ctrlProp" Target="../ctrlProps/ctrlProp300.xml"/><Relationship Id="rId5" Type="http://schemas.openxmlformats.org/officeDocument/2006/relationships/ctrlProp" Target="../ctrlProps/ctrlProp203.xml"/><Relationship Id="rId61" Type="http://schemas.openxmlformats.org/officeDocument/2006/relationships/ctrlProp" Target="../ctrlProps/ctrlProp259.xml"/><Relationship Id="rId82" Type="http://schemas.openxmlformats.org/officeDocument/2006/relationships/ctrlProp" Target="../ctrlProps/ctrlProp280.xml"/><Relationship Id="rId90" Type="http://schemas.openxmlformats.org/officeDocument/2006/relationships/ctrlProp" Target="../ctrlProps/ctrlProp288.xml"/><Relationship Id="rId95" Type="http://schemas.openxmlformats.org/officeDocument/2006/relationships/ctrlProp" Target="../ctrlProps/ctrlProp293.xml"/><Relationship Id="rId19" Type="http://schemas.openxmlformats.org/officeDocument/2006/relationships/ctrlProp" Target="../ctrlProps/ctrlProp217.xml"/><Relationship Id="rId14" Type="http://schemas.openxmlformats.org/officeDocument/2006/relationships/ctrlProp" Target="../ctrlProps/ctrlProp212.xml"/><Relationship Id="rId22" Type="http://schemas.openxmlformats.org/officeDocument/2006/relationships/ctrlProp" Target="../ctrlProps/ctrlProp220.xml"/><Relationship Id="rId27" Type="http://schemas.openxmlformats.org/officeDocument/2006/relationships/ctrlProp" Target="../ctrlProps/ctrlProp225.xml"/><Relationship Id="rId30" Type="http://schemas.openxmlformats.org/officeDocument/2006/relationships/ctrlProp" Target="../ctrlProps/ctrlProp228.xml"/><Relationship Id="rId35" Type="http://schemas.openxmlformats.org/officeDocument/2006/relationships/ctrlProp" Target="../ctrlProps/ctrlProp233.xml"/><Relationship Id="rId43" Type="http://schemas.openxmlformats.org/officeDocument/2006/relationships/ctrlProp" Target="../ctrlProps/ctrlProp241.xml"/><Relationship Id="rId48" Type="http://schemas.openxmlformats.org/officeDocument/2006/relationships/ctrlProp" Target="../ctrlProps/ctrlProp246.xml"/><Relationship Id="rId56" Type="http://schemas.openxmlformats.org/officeDocument/2006/relationships/ctrlProp" Target="../ctrlProps/ctrlProp254.xml"/><Relationship Id="rId64" Type="http://schemas.openxmlformats.org/officeDocument/2006/relationships/ctrlProp" Target="../ctrlProps/ctrlProp262.xml"/><Relationship Id="rId69" Type="http://schemas.openxmlformats.org/officeDocument/2006/relationships/ctrlProp" Target="../ctrlProps/ctrlProp267.xml"/><Relationship Id="rId77" Type="http://schemas.openxmlformats.org/officeDocument/2006/relationships/ctrlProp" Target="../ctrlProps/ctrlProp275.xml"/><Relationship Id="rId100" Type="http://schemas.openxmlformats.org/officeDocument/2006/relationships/ctrlProp" Target="../ctrlProps/ctrlProp298.xml"/><Relationship Id="rId8" Type="http://schemas.openxmlformats.org/officeDocument/2006/relationships/ctrlProp" Target="../ctrlProps/ctrlProp206.xml"/><Relationship Id="rId51" Type="http://schemas.openxmlformats.org/officeDocument/2006/relationships/ctrlProp" Target="../ctrlProps/ctrlProp249.xml"/><Relationship Id="rId72" Type="http://schemas.openxmlformats.org/officeDocument/2006/relationships/ctrlProp" Target="../ctrlProps/ctrlProp270.xml"/><Relationship Id="rId80" Type="http://schemas.openxmlformats.org/officeDocument/2006/relationships/ctrlProp" Target="../ctrlProps/ctrlProp278.xml"/><Relationship Id="rId85" Type="http://schemas.openxmlformats.org/officeDocument/2006/relationships/ctrlProp" Target="../ctrlProps/ctrlProp283.xml"/><Relationship Id="rId93" Type="http://schemas.openxmlformats.org/officeDocument/2006/relationships/ctrlProp" Target="../ctrlProps/ctrlProp291.xml"/><Relationship Id="rId98" Type="http://schemas.openxmlformats.org/officeDocument/2006/relationships/ctrlProp" Target="../ctrlProps/ctrlProp296.xml"/><Relationship Id="rId3" Type="http://schemas.openxmlformats.org/officeDocument/2006/relationships/ctrlProp" Target="../ctrlProps/ctrlProp201.xml"/><Relationship Id="rId12" Type="http://schemas.openxmlformats.org/officeDocument/2006/relationships/ctrlProp" Target="../ctrlProps/ctrlProp210.xml"/><Relationship Id="rId17" Type="http://schemas.openxmlformats.org/officeDocument/2006/relationships/ctrlProp" Target="../ctrlProps/ctrlProp215.xml"/><Relationship Id="rId25" Type="http://schemas.openxmlformats.org/officeDocument/2006/relationships/ctrlProp" Target="../ctrlProps/ctrlProp223.xml"/><Relationship Id="rId33" Type="http://schemas.openxmlformats.org/officeDocument/2006/relationships/ctrlProp" Target="../ctrlProps/ctrlProp231.xml"/><Relationship Id="rId38" Type="http://schemas.openxmlformats.org/officeDocument/2006/relationships/ctrlProp" Target="../ctrlProps/ctrlProp236.xml"/><Relationship Id="rId46" Type="http://schemas.openxmlformats.org/officeDocument/2006/relationships/ctrlProp" Target="../ctrlProps/ctrlProp244.xml"/><Relationship Id="rId59" Type="http://schemas.openxmlformats.org/officeDocument/2006/relationships/ctrlProp" Target="../ctrlProps/ctrlProp257.xml"/><Relationship Id="rId67" Type="http://schemas.openxmlformats.org/officeDocument/2006/relationships/ctrlProp" Target="../ctrlProps/ctrlProp265.xml"/><Relationship Id="rId20" Type="http://schemas.openxmlformats.org/officeDocument/2006/relationships/ctrlProp" Target="../ctrlProps/ctrlProp218.xml"/><Relationship Id="rId41" Type="http://schemas.openxmlformats.org/officeDocument/2006/relationships/ctrlProp" Target="../ctrlProps/ctrlProp239.xml"/><Relationship Id="rId54" Type="http://schemas.openxmlformats.org/officeDocument/2006/relationships/ctrlProp" Target="../ctrlProps/ctrlProp252.xml"/><Relationship Id="rId62" Type="http://schemas.openxmlformats.org/officeDocument/2006/relationships/ctrlProp" Target="../ctrlProps/ctrlProp260.xml"/><Relationship Id="rId70" Type="http://schemas.openxmlformats.org/officeDocument/2006/relationships/ctrlProp" Target="../ctrlProps/ctrlProp268.xml"/><Relationship Id="rId75" Type="http://schemas.openxmlformats.org/officeDocument/2006/relationships/ctrlProp" Target="../ctrlProps/ctrlProp273.xml"/><Relationship Id="rId83" Type="http://schemas.openxmlformats.org/officeDocument/2006/relationships/ctrlProp" Target="../ctrlProps/ctrlProp281.xml"/><Relationship Id="rId88" Type="http://schemas.openxmlformats.org/officeDocument/2006/relationships/ctrlProp" Target="../ctrlProps/ctrlProp286.xml"/><Relationship Id="rId91" Type="http://schemas.openxmlformats.org/officeDocument/2006/relationships/ctrlProp" Target="../ctrlProps/ctrlProp289.xml"/><Relationship Id="rId96" Type="http://schemas.openxmlformats.org/officeDocument/2006/relationships/ctrlProp" Target="../ctrlProps/ctrlProp29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4.xml"/><Relationship Id="rId15" Type="http://schemas.openxmlformats.org/officeDocument/2006/relationships/ctrlProp" Target="../ctrlProps/ctrlProp213.xml"/><Relationship Id="rId23" Type="http://schemas.openxmlformats.org/officeDocument/2006/relationships/ctrlProp" Target="../ctrlProps/ctrlProp221.xml"/><Relationship Id="rId28" Type="http://schemas.openxmlformats.org/officeDocument/2006/relationships/ctrlProp" Target="../ctrlProps/ctrlProp226.xml"/><Relationship Id="rId36" Type="http://schemas.openxmlformats.org/officeDocument/2006/relationships/ctrlProp" Target="../ctrlProps/ctrlProp234.xml"/><Relationship Id="rId49" Type="http://schemas.openxmlformats.org/officeDocument/2006/relationships/ctrlProp" Target="../ctrlProps/ctrlProp247.xml"/><Relationship Id="rId57" Type="http://schemas.openxmlformats.org/officeDocument/2006/relationships/ctrlProp" Target="../ctrlProps/ctrlProp255.xml"/><Relationship Id="rId10" Type="http://schemas.openxmlformats.org/officeDocument/2006/relationships/ctrlProp" Target="../ctrlProps/ctrlProp208.xml"/><Relationship Id="rId31" Type="http://schemas.openxmlformats.org/officeDocument/2006/relationships/ctrlProp" Target="../ctrlProps/ctrlProp229.xml"/><Relationship Id="rId44" Type="http://schemas.openxmlformats.org/officeDocument/2006/relationships/ctrlProp" Target="../ctrlProps/ctrlProp242.xml"/><Relationship Id="rId52" Type="http://schemas.openxmlformats.org/officeDocument/2006/relationships/ctrlProp" Target="../ctrlProps/ctrlProp250.xml"/><Relationship Id="rId60" Type="http://schemas.openxmlformats.org/officeDocument/2006/relationships/ctrlProp" Target="../ctrlProps/ctrlProp258.xml"/><Relationship Id="rId65" Type="http://schemas.openxmlformats.org/officeDocument/2006/relationships/ctrlProp" Target="../ctrlProps/ctrlProp263.xml"/><Relationship Id="rId73" Type="http://schemas.openxmlformats.org/officeDocument/2006/relationships/ctrlProp" Target="../ctrlProps/ctrlProp271.xml"/><Relationship Id="rId78" Type="http://schemas.openxmlformats.org/officeDocument/2006/relationships/ctrlProp" Target="../ctrlProps/ctrlProp276.xml"/><Relationship Id="rId81" Type="http://schemas.openxmlformats.org/officeDocument/2006/relationships/ctrlProp" Target="../ctrlProps/ctrlProp279.xml"/><Relationship Id="rId86" Type="http://schemas.openxmlformats.org/officeDocument/2006/relationships/ctrlProp" Target="../ctrlProps/ctrlProp284.xml"/><Relationship Id="rId94" Type="http://schemas.openxmlformats.org/officeDocument/2006/relationships/ctrlProp" Target="../ctrlProps/ctrlProp292.xml"/><Relationship Id="rId99" Type="http://schemas.openxmlformats.org/officeDocument/2006/relationships/ctrlProp" Target="../ctrlProps/ctrlProp297.xml"/><Relationship Id="rId101" Type="http://schemas.openxmlformats.org/officeDocument/2006/relationships/ctrlProp" Target="../ctrlProps/ctrlProp299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Relationship Id="rId13" Type="http://schemas.openxmlformats.org/officeDocument/2006/relationships/ctrlProp" Target="../ctrlProps/ctrlProp211.xml"/><Relationship Id="rId18" Type="http://schemas.openxmlformats.org/officeDocument/2006/relationships/ctrlProp" Target="../ctrlProps/ctrlProp216.xml"/><Relationship Id="rId39" Type="http://schemas.openxmlformats.org/officeDocument/2006/relationships/ctrlProp" Target="../ctrlProps/ctrlProp23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5.xml"/><Relationship Id="rId13" Type="http://schemas.openxmlformats.org/officeDocument/2006/relationships/ctrlProp" Target="../ctrlProps/ctrlProp310.xml"/><Relationship Id="rId18" Type="http://schemas.openxmlformats.org/officeDocument/2006/relationships/ctrlProp" Target="../ctrlProps/ctrlProp315.xml"/><Relationship Id="rId26" Type="http://schemas.openxmlformats.org/officeDocument/2006/relationships/ctrlProp" Target="../ctrlProps/ctrlProp3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18.xml"/><Relationship Id="rId7" Type="http://schemas.openxmlformats.org/officeDocument/2006/relationships/ctrlProp" Target="../ctrlProps/ctrlProp304.xml"/><Relationship Id="rId12" Type="http://schemas.openxmlformats.org/officeDocument/2006/relationships/ctrlProp" Target="../ctrlProps/ctrlProp309.xml"/><Relationship Id="rId17" Type="http://schemas.openxmlformats.org/officeDocument/2006/relationships/ctrlProp" Target="../ctrlProps/ctrlProp314.xml"/><Relationship Id="rId25" Type="http://schemas.openxmlformats.org/officeDocument/2006/relationships/ctrlProp" Target="../ctrlProps/ctrlProp3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3.xml"/><Relationship Id="rId20" Type="http://schemas.openxmlformats.org/officeDocument/2006/relationships/ctrlProp" Target="../ctrlProps/ctrlProp3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03.xml"/><Relationship Id="rId11" Type="http://schemas.openxmlformats.org/officeDocument/2006/relationships/ctrlProp" Target="../ctrlProps/ctrlProp308.xml"/><Relationship Id="rId24" Type="http://schemas.openxmlformats.org/officeDocument/2006/relationships/ctrlProp" Target="../ctrlProps/ctrlProp321.xml"/><Relationship Id="rId5" Type="http://schemas.openxmlformats.org/officeDocument/2006/relationships/ctrlProp" Target="../ctrlProps/ctrlProp302.xml"/><Relationship Id="rId15" Type="http://schemas.openxmlformats.org/officeDocument/2006/relationships/ctrlProp" Target="../ctrlProps/ctrlProp312.xml"/><Relationship Id="rId23" Type="http://schemas.openxmlformats.org/officeDocument/2006/relationships/ctrlProp" Target="../ctrlProps/ctrlProp320.xml"/><Relationship Id="rId28" Type="http://schemas.openxmlformats.org/officeDocument/2006/relationships/comments" Target="../comments1.xml"/><Relationship Id="rId10" Type="http://schemas.openxmlformats.org/officeDocument/2006/relationships/ctrlProp" Target="../ctrlProps/ctrlProp307.xml"/><Relationship Id="rId19" Type="http://schemas.openxmlformats.org/officeDocument/2006/relationships/ctrlProp" Target="../ctrlProps/ctrlProp316.xml"/><Relationship Id="rId4" Type="http://schemas.openxmlformats.org/officeDocument/2006/relationships/ctrlProp" Target="../ctrlProps/ctrlProp301.xml"/><Relationship Id="rId9" Type="http://schemas.openxmlformats.org/officeDocument/2006/relationships/ctrlProp" Target="../ctrlProps/ctrlProp306.xml"/><Relationship Id="rId14" Type="http://schemas.openxmlformats.org/officeDocument/2006/relationships/ctrlProp" Target="../ctrlProps/ctrlProp311.xml"/><Relationship Id="rId22" Type="http://schemas.openxmlformats.org/officeDocument/2006/relationships/ctrlProp" Target="../ctrlProps/ctrlProp319.xml"/><Relationship Id="rId27" Type="http://schemas.openxmlformats.org/officeDocument/2006/relationships/ctrlProp" Target="../ctrlProps/ctrlProp3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342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omments" Target="../comments2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.xml"/><Relationship Id="rId13" Type="http://schemas.openxmlformats.org/officeDocument/2006/relationships/ctrlProp" Target="../ctrlProps/ctrlProp358.xml"/><Relationship Id="rId18" Type="http://schemas.openxmlformats.org/officeDocument/2006/relationships/ctrlProp" Target="../ctrlProps/ctrlProp363.xml"/><Relationship Id="rId26" Type="http://schemas.openxmlformats.org/officeDocument/2006/relationships/ctrlProp" Target="../ctrlProps/ctrlProp371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366.xml"/><Relationship Id="rId7" Type="http://schemas.openxmlformats.org/officeDocument/2006/relationships/ctrlProp" Target="../ctrlProps/ctrlProp352.xml"/><Relationship Id="rId12" Type="http://schemas.openxmlformats.org/officeDocument/2006/relationships/ctrlProp" Target="../ctrlProps/ctrlProp357.xml"/><Relationship Id="rId17" Type="http://schemas.openxmlformats.org/officeDocument/2006/relationships/ctrlProp" Target="../ctrlProps/ctrlProp362.xml"/><Relationship Id="rId25" Type="http://schemas.openxmlformats.org/officeDocument/2006/relationships/ctrlProp" Target="../ctrlProps/ctrlProp37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361.xml"/><Relationship Id="rId20" Type="http://schemas.openxmlformats.org/officeDocument/2006/relationships/ctrlProp" Target="../ctrlProps/ctrlProp36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1.xml"/><Relationship Id="rId11" Type="http://schemas.openxmlformats.org/officeDocument/2006/relationships/ctrlProp" Target="../ctrlProps/ctrlProp356.xml"/><Relationship Id="rId24" Type="http://schemas.openxmlformats.org/officeDocument/2006/relationships/ctrlProp" Target="../ctrlProps/ctrlProp369.xml"/><Relationship Id="rId5" Type="http://schemas.openxmlformats.org/officeDocument/2006/relationships/ctrlProp" Target="../ctrlProps/ctrlProp350.xml"/><Relationship Id="rId15" Type="http://schemas.openxmlformats.org/officeDocument/2006/relationships/ctrlProp" Target="../ctrlProps/ctrlProp360.xml"/><Relationship Id="rId23" Type="http://schemas.openxmlformats.org/officeDocument/2006/relationships/ctrlProp" Target="../ctrlProps/ctrlProp368.xml"/><Relationship Id="rId28" Type="http://schemas.openxmlformats.org/officeDocument/2006/relationships/comments" Target="../comments3.xml"/><Relationship Id="rId10" Type="http://schemas.openxmlformats.org/officeDocument/2006/relationships/ctrlProp" Target="../ctrlProps/ctrlProp355.xml"/><Relationship Id="rId19" Type="http://schemas.openxmlformats.org/officeDocument/2006/relationships/ctrlProp" Target="../ctrlProps/ctrlProp364.xml"/><Relationship Id="rId4" Type="http://schemas.openxmlformats.org/officeDocument/2006/relationships/ctrlProp" Target="../ctrlProps/ctrlProp349.xml"/><Relationship Id="rId9" Type="http://schemas.openxmlformats.org/officeDocument/2006/relationships/ctrlProp" Target="../ctrlProps/ctrlProp354.xml"/><Relationship Id="rId14" Type="http://schemas.openxmlformats.org/officeDocument/2006/relationships/ctrlProp" Target="../ctrlProps/ctrlProp359.xml"/><Relationship Id="rId22" Type="http://schemas.openxmlformats.org/officeDocument/2006/relationships/ctrlProp" Target="../ctrlProps/ctrlProp367.xml"/><Relationship Id="rId27" Type="http://schemas.openxmlformats.org/officeDocument/2006/relationships/ctrlProp" Target="../ctrlProps/ctrlProp37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F8AC-E6FA-46D8-8A0C-7133BE5955A2}">
  <sheetPr codeName="Sheet11"/>
  <dimension ref="A1:Y77"/>
  <sheetViews>
    <sheetView topLeftCell="A4" zoomScaleNormal="100" workbookViewId="0">
      <selection activeCell="B1" sqref="B1:D1"/>
    </sheetView>
  </sheetViews>
  <sheetFormatPr defaultRowHeight="15"/>
  <cols>
    <col min="1" max="1" width="19.5703125" customWidth="1"/>
    <col min="2" max="2" width="18.42578125" customWidth="1"/>
    <col min="3" max="3" width="15.42578125" customWidth="1"/>
    <col min="4" max="4" width="8.42578125" customWidth="1"/>
    <col min="5" max="5" width="8.85546875" customWidth="1"/>
    <col min="6" max="6" width="6.28515625" customWidth="1"/>
    <col min="7" max="7" width="9" customWidth="1"/>
    <col min="8" max="8" width="3" customWidth="1"/>
    <col min="9" max="9" width="6.5703125" customWidth="1"/>
    <col min="10" max="10" width="3" style="20" customWidth="1"/>
    <col min="11" max="11" width="46.5703125" style="22" customWidth="1"/>
    <col min="12" max="12" width="26.5703125" customWidth="1"/>
    <col min="13" max="13" width="27.7109375" customWidth="1"/>
  </cols>
  <sheetData>
    <row r="1" spans="1:12" ht="31.5" customHeight="1" thickTop="1" thickBot="1">
      <c r="A1" s="191" t="s">
        <v>2886</v>
      </c>
      <c r="B1" s="306">
        <v>6</v>
      </c>
      <c r="C1" s="307"/>
      <c r="D1" s="308"/>
      <c r="E1" s="318" t="s">
        <v>0</v>
      </c>
      <c r="F1" s="319"/>
      <c r="G1" s="306" t="s">
        <v>2935</v>
      </c>
      <c r="H1" s="307"/>
      <c r="I1" s="307"/>
      <c r="J1" s="307"/>
      <c r="K1" s="308"/>
      <c r="L1" s="2"/>
    </row>
    <row r="2" spans="1:12" ht="65.25" customHeight="1" thickTop="1" thickBot="1">
      <c r="A2" s="321" t="s">
        <v>2859</v>
      </c>
      <c r="B2" s="322"/>
      <c r="C2" s="322"/>
      <c r="D2" s="322"/>
      <c r="E2" s="322"/>
      <c r="F2" s="322"/>
      <c r="G2" s="322"/>
      <c r="H2" s="322"/>
      <c r="I2" s="322"/>
      <c r="J2" s="323"/>
      <c r="K2" s="324"/>
      <c r="L2" s="1"/>
    </row>
    <row r="3" spans="1:12" ht="16.5" thickTop="1" thickBot="1">
      <c r="A3" s="165" t="s">
        <v>5</v>
      </c>
      <c r="B3" s="309">
        <v>42342</v>
      </c>
      <c r="C3" s="310"/>
      <c r="D3" s="310"/>
      <c r="E3" s="310"/>
      <c r="F3" s="310"/>
      <c r="G3" s="310"/>
      <c r="H3" s="310"/>
      <c r="I3" s="310"/>
      <c r="J3" s="310"/>
      <c r="K3" s="311"/>
    </row>
    <row r="4" spans="1:12" ht="16.5" thickTop="1" thickBot="1">
      <c r="A4" s="165" t="s">
        <v>2847</v>
      </c>
      <c r="B4" s="320" t="s">
        <v>2936</v>
      </c>
      <c r="C4" s="302"/>
      <c r="D4" s="302"/>
      <c r="E4" s="302"/>
      <c r="F4" s="302"/>
      <c r="G4" s="302"/>
      <c r="H4" s="302"/>
      <c r="I4" s="302"/>
      <c r="J4" s="302"/>
      <c r="K4" s="303"/>
    </row>
    <row r="5" spans="1:12" s="20" customFormat="1" ht="15.75" thickTop="1">
      <c r="A5" s="327" t="s">
        <v>2900</v>
      </c>
      <c r="B5" s="312"/>
      <c r="C5" s="313"/>
      <c r="D5" s="313"/>
      <c r="E5" s="313"/>
      <c r="F5" s="313"/>
      <c r="G5" s="313"/>
      <c r="H5" s="313"/>
      <c r="I5" s="313"/>
      <c r="J5" s="313"/>
      <c r="K5" s="314"/>
    </row>
    <row r="6" spans="1:12" ht="15.75" thickBot="1">
      <c r="A6" s="328"/>
      <c r="B6" s="315"/>
      <c r="C6" s="316"/>
      <c r="D6" s="316"/>
      <c r="E6" s="316"/>
      <c r="F6" s="316"/>
      <c r="G6" s="316"/>
      <c r="H6" s="316"/>
      <c r="I6" s="316"/>
      <c r="J6" s="316"/>
      <c r="K6" s="317"/>
    </row>
    <row r="7" spans="1:12" ht="15.75" thickTop="1">
      <c r="A7" s="278" t="s">
        <v>8</v>
      </c>
      <c r="B7" s="46" t="s">
        <v>4</v>
      </c>
      <c r="C7" s="282" t="s">
        <v>2937</v>
      </c>
      <c r="D7" s="282"/>
      <c r="E7" s="282"/>
      <c r="F7" s="282"/>
      <c r="G7" s="282"/>
      <c r="H7" s="282"/>
      <c r="I7" s="282"/>
      <c r="J7" s="282"/>
      <c r="K7" s="283"/>
    </row>
    <row r="8" spans="1:12" ht="15" customHeight="1">
      <c r="A8" s="279"/>
      <c r="B8" s="47" t="s">
        <v>7</v>
      </c>
      <c r="C8" s="284"/>
      <c r="D8" s="285"/>
      <c r="E8" s="285"/>
      <c r="F8" s="285"/>
      <c r="G8" s="285"/>
      <c r="H8" s="285"/>
      <c r="I8" s="285"/>
      <c r="J8" s="285"/>
      <c r="K8" s="286"/>
    </row>
    <row r="9" spans="1:12" ht="15.75" thickBot="1">
      <c r="A9" s="279"/>
      <c r="B9" s="50" t="s">
        <v>1</v>
      </c>
      <c r="C9" s="51" t="s">
        <v>2</v>
      </c>
      <c r="D9" s="287" t="s">
        <v>2923</v>
      </c>
      <c r="E9" s="288"/>
      <c r="F9" s="288"/>
      <c r="G9" s="288"/>
      <c r="H9" s="288"/>
      <c r="I9" s="288"/>
      <c r="J9" s="289"/>
      <c r="K9" s="121" t="s">
        <v>3</v>
      </c>
    </row>
    <row r="10" spans="1:12" ht="19.5" customHeight="1" thickTop="1" thickBot="1">
      <c r="A10" s="279"/>
      <c r="B10" s="150" t="s">
        <v>31</v>
      </c>
      <c r="C10" s="151"/>
      <c r="D10" s="91" t="s">
        <v>2887</v>
      </c>
      <c r="E10" s="298">
        <v>28.10765</v>
      </c>
      <c r="F10" s="299"/>
      <c r="G10" s="299"/>
      <c r="H10" s="299"/>
      <c r="I10" s="300"/>
      <c r="J10" s="226" t="s">
        <v>6</v>
      </c>
      <c r="K10" s="293">
        <v>59.36</v>
      </c>
    </row>
    <row r="11" spans="1:12" ht="19.5" customHeight="1" thickTop="1" thickBot="1">
      <c r="A11" s="279"/>
      <c r="B11" s="3"/>
      <c r="C11" s="3"/>
      <c r="D11" s="91" t="s">
        <v>2888</v>
      </c>
      <c r="E11" s="295">
        <v>80.978099999999998</v>
      </c>
      <c r="F11" s="296"/>
      <c r="G11" s="296"/>
      <c r="H11" s="296"/>
      <c r="I11" s="297"/>
      <c r="J11" s="156" t="s">
        <v>6</v>
      </c>
      <c r="K11" s="294"/>
    </row>
    <row r="12" spans="1:12" ht="15.75" thickTop="1">
      <c r="A12" s="325" t="s">
        <v>9</v>
      </c>
      <c r="B12" s="46" t="s">
        <v>4</v>
      </c>
      <c r="C12" s="282" t="s">
        <v>2937</v>
      </c>
      <c r="D12" s="282"/>
      <c r="E12" s="282"/>
      <c r="F12" s="282"/>
      <c r="G12" s="282"/>
      <c r="H12" s="282"/>
      <c r="I12" s="282"/>
      <c r="J12" s="282"/>
      <c r="K12" s="283"/>
    </row>
    <row r="13" spans="1:12">
      <c r="A13" s="326"/>
      <c r="B13" s="47" t="s">
        <v>7</v>
      </c>
      <c r="C13" s="284"/>
      <c r="D13" s="285"/>
      <c r="E13" s="285"/>
      <c r="F13" s="285"/>
      <c r="G13" s="285"/>
      <c r="H13" s="285"/>
      <c r="I13" s="285"/>
      <c r="J13" s="285"/>
      <c r="K13" s="286"/>
    </row>
    <row r="14" spans="1:12" ht="15.75" thickBot="1">
      <c r="A14" s="326"/>
      <c r="B14" s="48" t="s">
        <v>1</v>
      </c>
      <c r="C14" s="4" t="s">
        <v>2</v>
      </c>
      <c r="D14" s="287" t="s">
        <v>2923</v>
      </c>
      <c r="E14" s="288"/>
      <c r="F14" s="288"/>
      <c r="G14" s="288"/>
      <c r="H14" s="288"/>
      <c r="I14" s="288"/>
      <c r="J14" s="289"/>
      <c r="K14" s="103" t="s">
        <v>3</v>
      </c>
    </row>
    <row r="15" spans="1:12" ht="16.5" thickTop="1" thickBot="1">
      <c r="A15" s="326"/>
      <c r="B15" s="150" t="s">
        <v>31</v>
      </c>
      <c r="C15" s="52"/>
      <c r="D15" s="91" t="s">
        <v>2887</v>
      </c>
      <c r="E15" s="298">
        <v>28.107583333000001</v>
      </c>
      <c r="F15" s="299"/>
      <c r="G15" s="299"/>
      <c r="H15" s="299"/>
      <c r="I15" s="300"/>
      <c r="J15" s="226" t="s">
        <v>6</v>
      </c>
      <c r="K15" s="293">
        <v>59.32</v>
      </c>
    </row>
    <row r="16" spans="1:12" ht="16.5" thickTop="1" thickBot="1">
      <c r="A16" s="326"/>
      <c r="B16" s="3"/>
      <c r="C16" s="3"/>
      <c r="D16" s="91" t="s">
        <v>2888</v>
      </c>
      <c r="E16" s="295">
        <v>80.978066666000004</v>
      </c>
      <c r="F16" s="296"/>
      <c r="G16" s="296"/>
      <c r="H16" s="296"/>
      <c r="I16" s="297"/>
      <c r="J16" s="156" t="s">
        <v>6</v>
      </c>
      <c r="K16" s="305"/>
    </row>
    <row r="17" spans="1:25" s="20" customFormat="1" ht="15.75" thickTop="1">
      <c r="A17" s="278" t="s">
        <v>2858</v>
      </c>
      <c r="B17" s="46" t="s">
        <v>4</v>
      </c>
      <c r="C17" s="281" t="s">
        <v>2937</v>
      </c>
      <c r="D17" s="282"/>
      <c r="E17" s="282"/>
      <c r="F17" s="282"/>
      <c r="G17" s="282"/>
      <c r="H17" s="282"/>
      <c r="I17" s="282"/>
      <c r="J17" s="282"/>
      <c r="K17" s="283"/>
    </row>
    <row r="18" spans="1:25" s="20" customFormat="1">
      <c r="A18" s="279"/>
      <c r="B18" s="47" t="s">
        <v>7</v>
      </c>
      <c r="C18" s="284"/>
      <c r="D18" s="285"/>
      <c r="E18" s="285"/>
      <c r="F18" s="285"/>
      <c r="G18" s="285"/>
      <c r="H18" s="285"/>
      <c r="I18" s="285"/>
      <c r="J18" s="285"/>
      <c r="K18" s="286"/>
    </row>
    <row r="19" spans="1:25" s="20" customFormat="1" ht="15.75" thickBot="1">
      <c r="A19" s="279"/>
      <c r="B19" s="48" t="s">
        <v>1</v>
      </c>
      <c r="C19" s="4" t="s">
        <v>2</v>
      </c>
      <c r="D19" s="287" t="s">
        <v>2923</v>
      </c>
      <c r="E19" s="288"/>
      <c r="F19" s="288"/>
      <c r="G19" s="288"/>
      <c r="H19" s="288"/>
      <c r="I19" s="288"/>
      <c r="J19" s="289"/>
      <c r="K19" s="121" t="s">
        <v>3</v>
      </c>
    </row>
    <row r="20" spans="1:25" s="20" customFormat="1" ht="16.5" thickTop="1" thickBot="1">
      <c r="A20" s="279"/>
      <c r="B20" s="150" t="s">
        <v>31</v>
      </c>
      <c r="C20" s="52"/>
      <c r="D20" s="91" t="s">
        <v>2887</v>
      </c>
      <c r="E20" s="290">
        <v>28.10745</v>
      </c>
      <c r="F20" s="291"/>
      <c r="G20" s="291"/>
      <c r="H20" s="291"/>
      <c r="I20" s="292"/>
      <c r="J20" s="226" t="s">
        <v>6</v>
      </c>
      <c r="K20" s="293">
        <v>59.4</v>
      </c>
    </row>
    <row r="21" spans="1:25" s="20" customFormat="1" ht="16.5" thickTop="1" thickBot="1">
      <c r="A21" s="280"/>
      <c r="B21" s="3"/>
      <c r="C21" s="3"/>
      <c r="D21" s="91" t="s">
        <v>2888</v>
      </c>
      <c r="E21" s="295">
        <v>80.978083333000001</v>
      </c>
      <c r="F21" s="296"/>
      <c r="G21" s="296"/>
      <c r="H21" s="296"/>
      <c r="I21" s="297"/>
      <c r="J21" s="156" t="s">
        <v>6</v>
      </c>
      <c r="K21" s="294"/>
    </row>
    <row r="22" spans="1:25" s="20" customFormat="1" ht="15.75" thickTop="1">
      <c r="A22" s="278" t="s">
        <v>2924</v>
      </c>
      <c r="B22" s="46" t="s">
        <v>4</v>
      </c>
      <c r="C22" s="281"/>
      <c r="D22" s="282"/>
      <c r="E22" s="282"/>
      <c r="F22" s="282"/>
      <c r="G22" s="282"/>
      <c r="H22" s="282"/>
      <c r="I22" s="282"/>
      <c r="J22" s="282"/>
      <c r="K22" s="283"/>
    </row>
    <row r="23" spans="1:25" s="20" customFormat="1">
      <c r="A23" s="279"/>
      <c r="B23" s="47" t="s">
        <v>7</v>
      </c>
      <c r="C23" s="284"/>
      <c r="D23" s="285"/>
      <c r="E23" s="285"/>
      <c r="F23" s="285"/>
      <c r="G23" s="285"/>
      <c r="H23" s="285"/>
      <c r="I23" s="285"/>
      <c r="J23" s="285"/>
      <c r="K23" s="286"/>
      <c r="O23"/>
      <c r="P23"/>
      <c r="Q23"/>
      <c r="R23"/>
      <c r="S23"/>
      <c r="T23"/>
      <c r="U23"/>
      <c r="V23"/>
      <c r="W23"/>
      <c r="X23"/>
      <c r="Y23"/>
    </row>
    <row r="24" spans="1:25" ht="15.75" thickBot="1">
      <c r="A24" s="279"/>
      <c r="B24" s="48" t="s">
        <v>1</v>
      </c>
      <c r="C24" s="4" t="s">
        <v>2</v>
      </c>
      <c r="D24" s="287" t="s">
        <v>2923</v>
      </c>
      <c r="E24" s="288"/>
      <c r="F24" s="288"/>
      <c r="G24" s="288"/>
      <c r="H24" s="288"/>
      <c r="I24" s="288"/>
      <c r="J24" s="289"/>
      <c r="K24" s="121" t="s">
        <v>3</v>
      </c>
    </row>
    <row r="25" spans="1:25" s="20" customFormat="1" ht="16.5" thickTop="1" thickBot="1">
      <c r="A25" s="279"/>
      <c r="B25" s="150"/>
      <c r="C25" s="52"/>
      <c r="D25" s="91" t="s">
        <v>2887</v>
      </c>
      <c r="E25" s="290"/>
      <c r="F25" s="291"/>
      <c r="G25" s="291"/>
      <c r="H25" s="291"/>
      <c r="I25" s="292"/>
      <c r="J25" s="226" t="s">
        <v>6</v>
      </c>
      <c r="K25" s="293"/>
      <c r="O25"/>
      <c r="P25"/>
      <c r="Q25"/>
      <c r="R25"/>
      <c r="S25"/>
      <c r="T25"/>
      <c r="U25"/>
      <c r="V25"/>
      <c r="W25"/>
      <c r="X25"/>
      <c r="Y25"/>
    </row>
    <row r="26" spans="1:25" ht="16.5" thickTop="1" thickBot="1">
      <c r="A26" s="280"/>
      <c r="B26" s="3"/>
      <c r="C26" s="3"/>
      <c r="D26" s="91" t="s">
        <v>2888</v>
      </c>
      <c r="E26" s="295"/>
      <c r="F26" s="296"/>
      <c r="G26" s="296"/>
      <c r="H26" s="296"/>
      <c r="I26" s="297"/>
      <c r="J26" s="156" t="s">
        <v>6</v>
      </c>
      <c r="K26" s="294"/>
    </row>
    <row r="27" spans="1:25" ht="64.5" customHeight="1" thickTop="1" thickBot="1">
      <c r="A27" s="331" t="s">
        <v>2860</v>
      </c>
      <c r="B27" s="331"/>
      <c r="C27" s="331"/>
      <c r="D27" s="331"/>
      <c r="E27" s="331"/>
      <c r="F27" s="331"/>
      <c r="G27" s="331"/>
      <c r="H27" s="331"/>
      <c r="I27" s="331"/>
      <c r="J27" s="331"/>
      <c r="K27" s="332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ht="15" customHeight="1" thickTop="1" thickBot="1">
      <c r="A28" s="165" t="s">
        <v>5</v>
      </c>
      <c r="B28" s="320"/>
      <c r="C28" s="302"/>
      <c r="D28" s="302"/>
      <c r="E28" s="302"/>
      <c r="F28" s="302"/>
      <c r="G28" s="302"/>
      <c r="H28" s="302"/>
      <c r="I28" s="302"/>
      <c r="J28" s="302"/>
      <c r="K28" s="303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</row>
    <row r="29" spans="1:25" ht="15" customHeight="1" thickTop="1" thickBot="1">
      <c r="A29" s="165" t="s">
        <v>2847</v>
      </c>
      <c r="B29" s="320"/>
      <c r="C29" s="302"/>
      <c r="D29" s="302"/>
      <c r="E29" s="302"/>
      <c r="F29" s="302"/>
      <c r="G29" s="302"/>
      <c r="H29" s="302"/>
      <c r="I29" s="302"/>
      <c r="J29" s="302"/>
      <c r="K29" s="303"/>
    </row>
    <row r="30" spans="1:25" ht="15" customHeight="1" thickTop="1">
      <c r="A30" s="327" t="s">
        <v>2900</v>
      </c>
      <c r="B30" s="312"/>
      <c r="C30" s="313"/>
      <c r="D30" s="313"/>
      <c r="E30" s="313"/>
      <c r="F30" s="313"/>
      <c r="G30" s="313"/>
      <c r="H30" s="313"/>
      <c r="I30" s="313"/>
      <c r="J30" s="313"/>
      <c r="K30" s="314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</row>
    <row r="31" spans="1:25" ht="18.75" customHeight="1" thickBot="1">
      <c r="A31" s="328"/>
      <c r="B31" s="315"/>
      <c r="C31" s="316"/>
      <c r="D31" s="316"/>
      <c r="E31" s="316"/>
      <c r="F31" s="316"/>
      <c r="G31" s="316"/>
      <c r="H31" s="316"/>
      <c r="I31" s="316"/>
      <c r="J31" s="316"/>
      <c r="K31" s="317"/>
    </row>
    <row r="32" spans="1:25" ht="15.75" thickTop="1">
      <c r="A32" s="278" t="s">
        <v>8</v>
      </c>
      <c r="B32" s="46" t="s">
        <v>4</v>
      </c>
      <c r="C32" s="24"/>
      <c r="D32" s="24"/>
      <c r="E32" s="24"/>
      <c r="F32" s="24"/>
      <c r="G32" s="24"/>
      <c r="H32" s="24"/>
      <c r="I32" s="24"/>
      <c r="J32" s="24"/>
      <c r="K32" s="122"/>
    </row>
    <row r="33" spans="1:25">
      <c r="A33" s="279"/>
      <c r="B33" s="47" t="s">
        <v>7</v>
      </c>
      <c r="C33" s="284"/>
      <c r="D33" s="285"/>
      <c r="E33" s="285"/>
      <c r="F33" s="285"/>
      <c r="G33" s="285"/>
      <c r="H33" s="285"/>
      <c r="I33" s="285"/>
      <c r="J33" s="285"/>
      <c r="K33" s="286"/>
    </row>
    <row r="34" spans="1:25" ht="15.75" thickBot="1">
      <c r="A34" s="279"/>
      <c r="B34" s="48" t="s">
        <v>1</v>
      </c>
      <c r="C34" s="4" t="s">
        <v>2</v>
      </c>
      <c r="D34" s="287" t="s">
        <v>2923</v>
      </c>
      <c r="E34" s="288"/>
      <c r="F34" s="288"/>
      <c r="G34" s="288"/>
      <c r="H34" s="288"/>
      <c r="I34" s="288"/>
      <c r="J34" s="289"/>
      <c r="K34" s="121" t="s">
        <v>3</v>
      </c>
    </row>
    <row r="35" spans="1:25" ht="16.5" thickTop="1" thickBot="1">
      <c r="A35" s="279"/>
      <c r="B35" s="150"/>
      <c r="C35" s="52"/>
      <c r="D35" s="91" t="s">
        <v>2887</v>
      </c>
      <c r="E35" s="298"/>
      <c r="F35" s="299"/>
      <c r="G35" s="299"/>
      <c r="H35" s="299"/>
      <c r="I35" s="300"/>
      <c r="J35" s="226" t="s">
        <v>6</v>
      </c>
      <c r="K35" s="293"/>
    </row>
    <row r="36" spans="1:25" ht="16.5" thickTop="1" thickBot="1">
      <c r="A36" s="279"/>
      <c r="B36" s="3"/>
      <c r="C36" s="3"/>
      <c r="D36" s="91" t="s">
        <v>2888</v>
      </c>
      <c r="E36" s="298"/>
      <c r="F36" s="299"/>
      <c r="G36" s="299"/>
      <c r="H36" s="299"/>
      <c r="I36" s="300"/>
      <c r="J36" s="251" t="s">
        <v>6</v>
      </c>
      <c r="K36" s="333"/>
    </row>
    <row r="37" spans="1:25" ht="15.75" thickTop="1">
      <c r="A37" s="325" t="s">
        <v>9</v>
      </c>
      <c r="B37" s="46" t="s">
        <v>4</v>
      </c>
      <c r="C37" s="281"/>
      <c r="D37" s="282"/>
      <c r="E37" s="282"/>
      <c r="F37" s="282"/>
      <c r="G37" s="282"/>
      <c r="H37" s="282"/>
      <c r="I37" s="282"/>
      <c r="J37" s="282"/>
      <c r="K37" s="283"/>
    </row>
    <row r="38" spans="1:25">
      <c r="A38" s="326"/>
      <c r="B38" s="47" t="s">
        <v>7</v>
      </c>
      <c r="C38" s="284"/>
      <c r="D38" s="285"/>
      <c r="E38" s="285"/>
      <c r="F38" s="285"/>
      <c r="G38" s="285"/>
      <c r="H38" s="285"/>
      <c r="I38" s="285"/>
      <c r="J38" s="285"/>
      <c r="K38" s="286"/>
    </row>
    <row r="39" spans="1:25" ht="15.75" thickBot="1">
      <c r="A39" s="326"/>
      <c r="B39" s="48" t="s">
        <v>1</v>
      </c>
      <c r="C39" s="4" t="s">
        <v>2</v>
      </c>
      <c r="D39" s="287" t="s">
        <v>2923</v>
      </c>
      <c r="E39" s="288"/>
      <c r="F39" s="288"/>
      <c r="G39" s="288"/>
      <c r="H39" s="288"/>
      <c r="I39" s="288"/>
      <c r="J39" s="289"/>
      <c r="K39" s="170" t="s">
        <v>3</v>
      </c>
    </row>
    <row r="40" spans="1:25" ht="16.5" thickTop="1" thickBot="1">
      <c r="A40" s="326"/>
      <c r="B40" s="150"/>
      <c r="C40" s="52"/>
      <c r="D40" s="91" t="s">
        <v>2887</v>
      </c>
      <c r="E40" s="298"/>
      <c r="F40" s="299"/>
      <c r="G40" s="299"/>
      <c r="H40" s="299"/>
      <c r="I40" s="300"/>
      <c r="J40" s="226" t="s">
        <v>6</v>
      </c>
      <c r="K40" s="293"/>
    </row>
    <row r="41" spans="1:25" ht="16.5" thickTop="1" thickBot="1">
      <c r="A41" s="326"/>
      <c r="B41" s="3"/>
      <c r="C41" s="3"/>
      <c r="D41" s="91" t="s">
        <v>2888</v>
      </c>
      <c r="E41" s="298"/>
      <c r="F41" s="299"/>
      <c r="G41" s="299"/>
      <c r="H41" s="299"/>
      <c r="I41" s="300"/>
      <c r="J41" s="251" t="s">
        <v>6</v>
      </c>
      <c r="K41" s="305"/>
    </row>
    <row r="42" spans="1:25" ht="15.75" thickTop="1">
      <c r="A42" s="278" t="s">
        <v>2858</v>
      </c>
      <c r="B42" s="46" t="s">
        <v>4</v>
      </c>
      <c r="C42" s="281"/>
      <c r="D42" s="282"/>
      <c r="E42" s="282"/>
      <c r="F42" s="282"/>
      <c r="G42" s="282"/>
      <c r="H42" s="282"/>
      <c r="I42" s="282"/>
      <c r="J42" s="282"/>
      <c r="K42" s="283"/>
    </row>
    <row r="43" spans="1:25">
      <c r="A43" s="279"/>
      <c r="B43" s="47" t="s">
        <v>7</v>
      </c>
      <c r="C43" s="284"/>
      <c r="D43" s="285"/>
      <c r="E43" s="285"/>
      <c r="F43" s="285"/>
      <c r="G43" s="285"/>
      <c r="H43" s="285"/>
      <c r="I43" s="285"/>
      <c r="J43" s="285"/>
      <c r="K43" s="286"/>
    </row>
    <row r="44" spans="1:25" ht="15.75" thickBot="1">
      <c r="A44" s="279"/>
      <c r="B44" s="48" t="s">
        <v>1</v>
      </c>
      <c r="C44" s="4" t="s">
        <v>2</v>
      </c>
      <c r="D44" s="287" t="s">
        <v>2923</v>
      </c>
      <c r="E44" s="288"/>
      <c r="F44" s="288"/>
      <c r="G44" s="288"/>
      <c r="H44" s="288"/>
      <c r="I44" s="288"/>
      <c r="J44" s="289"/>
      <c r="K44" s="121" t="s">
        <v>3</v>
      </c>
    </row>
    <row r="45" spans="1:25" ht="16.5" thickTop="1" thickBot="1">
      <c r="A45" s="279"/>
      <c r="B45" s="150"/>
      <c r="C45" s="52"/>
      <c r="D45" s="91" t="s">
        <v>2887</v>
      </c>
      <c r="E45" s="298"/>
      <c r="F45" s="299"/>
      <c r="G45" s="299"/>
      <c r="H45" s="299"/>
      <c r="I45" s="300"/>
      <c r="J45" s="226" t="s">
        <v>6</v>
      </c>
      <c r="K45" s="293"/>
    </row>
    <row r="46" spans="1:25" s="20" customFormat="1" ht="16.5" thickTop="1" thickBot="1">
      <c r="A46" s="279"/>
      <c r="B46" s="3"/>
      <c r="C46" s="3"/>
      <c r="D46" s="155" t="s">
        <v>2888</v>
      </c>
      <c r="E46" s="295"/>
      <c r="F46" s="296"/>
      <c r="G46" s="296"/>
      <c r="H46" s="296"/>
      <c r="I46" s="297"/>
      <c r="J46" s="156" t="s">
        <v>6</v>
      </c>
      <c r="K46" s="305"/>
      <c r="O46"/>
      <c r="P46"/>
      <c r="Q46"/>
      <c r="R46"/>
      <c r="S46"/>
      <c r="T46"/>
      <c r="U46"/>
      <c r="V46"/>
      <c r="W46"/>
      <c r="X46"/>
      <c r="Y46"/>
    </row>
    <row r="47" spans="1:25" s="20" customFormat="1" ht="15.75" thickTop="1">
      <c r="A47" s="278" t="s">
        <v>2924</v>
      </c>
      <c r="B47" s="46" t="s">
        <v>4</v>
      </c>
      <c r="C47" s="281"/>
      <c r="D47" s="282"/>
      <c r="E47" s="282"/>
      <c r="F47" s="282"/>
      <c r="G47" s="282"/>
      <c r="H47" s="282"/>
      <c r="I47" s="282"/>
      <c r="J47" s="282"/>
      <c r="K47" s="283"/>
    </row>
    <row r="48" spans="1:25" s="20" customFormat="1">
      <c r="A48" s="279"/>
      <c r="B48" s="47" t="s">
        <v>7</v>
      </c>
      <c r="C48" s="284"/>
      <c r="D48" s="285"/>
      <c r="E48" s="285"/>
      <c r="F48" s="285"/>
      <c r="G48" s="285"/>
      <c r="H48" s="285"/>
      <c r="I48" s="285"/>
      <c r="J48" s="285"/>
      <c r="K48" s="286"/>
    </row>
    <row r="49" spans="1:25" s="20" customFormat="1" ht="15.75" thickBot="1">
      <c r="A49" s="279"/>
      <c r="B49" s="48" t="s">
        <v>1</v>
      </c>
      <c r="C49" s="4" t="s">
        <v>2</v>
      </c>
      <c r="D49" s="287" t="s">
        <v>2923</v>
      </c>
      <c r="E49" s="288"/>
      <c r="F49" s="288"/>
      <c r="G49" s="288"/>
      <c r="H49" s="288"/>
      <c r="I49" s="288"/>
      <c r="J49" s="289"/>
      <c r="K49" s="121" t="s">
        <v>3</v>
      </c>
    </row>
    <row r="50" spans="1:25" s="20" customFormat="1" ht="16.5" thickTop="1" thickBot="1">
      <c r="A50" s="279"/>
      <c r="B50" s="150"/>
      <c r="C50" s="52"/>
      <c r="D50" s="91" t="s">
        <v>2887</v>
      </c>
      <c r="E50" s="290"/>
      <c r="F50" s="291"/>
      <c r="G50" s="291"/>
      <c r="H50" s="291"/>
      <c r="I50" s="292"/>
      <c r="J50" s="226" t="s">
        <v>6</v>
      </c>
      <c r="K50" s="293"/>
    </row>
    <row r="51" spans="1:25" s="20" customFormat="1" ht="16.5" thickTop="1" thickBot="1">
      <c r="A51" s="280"/>
      <c r="B51" s="252"/>
      <c r="C51" s="253"/>
      <c r="D51" s="155" t="s">
        <v>2888</v>
      </c>
      <c r="E51" s="295"/>
      <c r="F51" s="296"/>
      <c r="G51" s="296"/>
      <c r="H51" s="296"/>
      <c r="I51" s="297"/>
      <c r="J51" s="156" t="s">
        <v>6</v>
      </c>
      <c r="K51" s="294"/>
    </row>
    <row r="52" spans="1:25" ht="65.25" customHeight="1" thickTop="1" thickBot="1">
      <c r="A52" s="329" t="s">
        <v>2861</v>
      </c>
      <c r="B52" s="329"/>
      <c r="C52" s="329"/>
      <c r="D52" s="329"/>
      <c r="E52" s="329"/>
      <c r="F52" s="329"/>
      <c r="G52" s="329"/>
      <c r="H52" s="329"/>
      <c r="I52" s="329"/>
      <c r="J52" s="329"/>
      <c r="K52" s="330"/>
    </row>
    <row r="53" spans="1:25" ht="16.5" thickTop="1" thickBot="1">
      <c r="A53" s="165" t="s">
        <v>5</v>
      </c>
      <c r="B53" s="301"/>
      <c r="C53" s="302"/>
      <c r="D53" s="302"/>
      <c r="E53" s="302"/>
      <c r="F53" s="302"/>
      <c r="G53" s="302"/>
      <c r="H53" s="302"/>
      <c r="I53" s="302"/>
      <c r="J53" s="302"/>
      <c r="K53" s="303"/>
    </row>
    <row r="54" spans="1:25" ht="16.5" thickTop="1" thickBot="1">
      <c r="A54" s="165" t="s">
        <v>2847</v>
      </c>
      <c r="B54" s="320"/>
      <c r="C54" s="302"/>
      <c r="D54" s="302"/>
      <c r="E54" s="302"/>
      <c r="F54" s="302"/>
      <c r="G54" s="302"/>
      <c r="H54" s="302"/>
      <c r="I54" s="302"/>
      <c r="J54" s="302"/>
      <c r="K54" s="303"/>
    </row>
    <row r="55" spans="1:25" ht="16.5" customHeight="1" thickTop="1">
      <c r="A55" s="327" t="s">
        <v>2900</v>
      </c>
      <c r="B55" s="312"/>
      <c r="C55" s="313"/>
      <c r="D55" s="313"/>
      <c r="E55" s="313"/>
      <c r="F55" s="313"/>
      <c r="G55" s="313"/>
      <c r="H55" s="313"/>
      <c r="I55" s="313"/>
      <c r="J55" s="313"/>
      <c r="K55" s="314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</row>
    <row r="56" spans="1:25" ht="15.75" thickBot="1">
      <c r="A56" s="328"/>
      <c r="B56" s="315"/>
      <c r="C56" s="316"/>
      <c r="D56" s="316"/>
      <c r="E56" s="316"/>
      <c r="F56" s="316"/>
      <c r="G56" s="316"/>
      <c r="H56" s="316"/>
      <c r="I56" s="316"/>
      <c r="J56" s="316"/>
      <c r="K56" s="317"/>
    </row>
    <row r="57" spans="1:25" ht="15.75" thickTop="1">
      <c r="A57" s="278" t="s">
        <v>8</v>
      </c>
      <c r="B57" s="46" t="s">
        <v>4</v>
      </c>
      <c r="C57" s="282"/>
      <c r="D57" s="282"/>
      <c r="E57" s="282"/>
      <c r="F57" s="282"/>
      <c r="G57" s="282"/>
      <c r="H57" s="282"/>
      <c r="I57" s="282"/>
      <c r="J57" s="282"/>
      <c r="K57" s="283"/>
    </row>
    <row r="58" spans="1:25">
      <c r="A58" s="304"/>
      <c r="B58" s="47" t="s">
        <v>7</v>
      </c>
      <c r="C58" s="284"/>
      <c r="D58" s="285"/>
      <c r="E58" s="285"/>
      <c r="F58" s="285"/>
      <c r="G58" s="285"/>
      <c r="H58" s="285"/>
      <c r="I58" s="285"/>
      <c r="J58" s="285"/>
      <c r="K58" s="286"/>
    </row>
    <row r="59" spans="1:25" ht="15.75" thickBot="1">
      <c r="A59" s="304"/>
      <c r="B59" s="48" t="s">
        <v>1</v>
      </c>
      <c r="C59" s="4" t="s">
        <v>2</v>
      </c>
      <c r="D59" s="287" t="s">
        <v>2923</v>
      </c>
      <c r="E59" s="288"/>
      <c r="F59" s="288"/>
      <c r="G59" s="288"/>
      <c r="H59" s="288"/>
      <c r="I59" s="288"/>
      <c r="J59" s="289"/>
      <c r="K59" s="121" t="s">
        <v>3</v>
      </c>
    </row>
    <row r="60" spans="1:25" ht="16.5" thickTop="1" thickBot="1">
      <c r="A60" s="304"/>
      <c r="B60" s="150"/>
      <c r="C60" s="52"/>
      <c r="D60" s="91" t="s">
        <v>2887</v>
      </c>
      <c r="E60" s="298"/>
      <c r="F60" s="299"/>
      <c r="G60" s="299"/>
      <c r="H60" s="299"/>
      <c r="I60" s="300"/>
      <c r="J60" s="226" t="s">
        <v>6</v>
      </c>
      <c r="K60" s="293"/>
    </row>
    <row r="61" spans="1:25" ht="16.5" thickTop="1" thickBot="1">
      <c r="A61" s="304"/>
      <c r="B61" s="3"/>
      <c r="C61" s="3"/>
      <c r="D61" s="91" t="s">
        <v>2888</v>
      </c>
      <c r="E61" s="298"/>
      <c r="F61" s="299"/>
      <c r="G61" s="299"/>
      <c r="H61" s="299"/>
      <c r="I61" s="300"/>
      <c r="J61" s="251" t="s">
        <v>6</v>
      </c>
      <c r="K61" s="305"/>
    </row>
    <row r="62" spans="1:25" ht="15.75" thickTop="1">
      <c r="A62" s="325" t="s">
        <v>9</v>
      </c>
      <c r="B62" s="46" t="s">
        <v>4</v>
      </c>
      <c r="C62" s="282"/>
      <c r="D62" s="282"/>
      <c r="E62" s="282"/>
      <c r="F62" s="282"/>
      <c r="G62" s="282"/>
      <c r="H62" s="282"/>
      <c r="I62" s="282"/>
      <c r="J62" s="282"/>
      <c r="K62" s="283"/>
    </row>
    <row r="63" spans="1:25">
      <c r="A63" s="326"/>
      <c r="B63" s="47" t="s">
        <v>7</v>
      </c>
      <c r="C63" s="284"/>
      <c r="D63" s="285"/>
      <c r="E63" s="285"/>
      <c r="F63" s="285"/>
      <c r="G63" s="285"/>
      <c r="H63" s="285"/>
      <c r="I63" s="285"/>
      <c r="J63" s="285"/>
      <c r="K63" s="286"/>
    </row>
    <row r="64" spans="1:25" ht="15.75" thickBot="1">
      <c r="A64" s="326"/>
      <c r="B64" s="48" t="s">
        <v>1</v>
      </c>
      <c r="C64" s="4" t="s">
        <v>2</v>
      </c>
      <c r="D64" s="287" t="s">
        <v>2923</v>
      </c>
      <c r="E64" s="288"/>
      <c r="F64" s="288"/>
      <c r="G64" s="288"/>
      <c r="H64" s="288"/>
      <c r="I64" s="288"/>
      <c r="J64" s="289"/>
      <c r="K64" s="103" t="s">
        <v>3</v>
      </c>
    </row>
    <row r="65" spans="1:25" ht="16.5" thickTop="1" thickBot="1">
      <c r="A65" s="326"/>
      <c r="B65" s="150"/>
      <c r="C65" s="52"/>
      <c r="D65" s="91" t="s">
        <v>2887</v>
      </c>
      <c r="E65" s="298"/>
      <c r="F65" s="299"/>
      <c r="G65" s="299"/>
      <c r="H65" s="299"/>
      <c r="I65" s="300"/>
      <c r="J65" s="226" t="s">
        <v>6</v>
      </c>
      <c r="K65" s="293"/>
    </row>
    <row r="66" spans="1:25" ht="16.5" thickTop="1" thickBot="1">
      <c r="A66" s="326"/>
      <c r="B66" s="3"/>
      <c r="C66" s="3"/>
      <c r="D66" s="91" t="s">
        <v>2888</v>
      </c>
      <c r="E66" s="295"/>
      <c r="F66" s="296"/>
      <c r="G66" s="296"/>
      <c r="H66" s="296"/>
      <c r="I66" s="297"/>
      <c r="J66" s="156" t="s">
        <v>6</v>
      </c>
      <c r="K66" s="305"/>
    </row>
    <row r="67" spans="1:25" s="2" customFormat="1" ht="15.75" thickTop="1">
      <c r="A67" s="278" t="s">
        <v>2858</v>
      </c>
      <c r="B67" s="46" t="s">
        <v>4</v>
      </c>
      <c r="C67" s="282"/>
      <c r="D67" s="282"/>
      <c r="E67" s="282"/>
      <c r="F67" s="282"/>
      <c r="G67" s="282"/>
      <c r="H67" s="282"/>
      <c r="I67" s="282"/>
      <c r="J67" s="282"/>
      <c r="K67" s="283"/>
      <c r="O67"/>
      <c r="P67"/>
      <c r="Q67"/>
      <c r="R67"/>
      <c r="S67"/>
      <c r="T67"/>
      <c r="U67"/>
      <c r="V67"/>
      <c r="W67"/>
      <c r="X67"/>
      <c r="Y67"/>
    </row>
    <row r="68" spans="1:25" s="2" customFormat="1">
      <c r="A68" s="304"/>
      <c r="B68" s="47" t="s">
        <v>7</v>
      </c>
      <c r="C68" s="284"/>
      <c r="D68" s="285"/>
      <c r="E68" s="285"/>
      <c r="F68" s="285"/>
      <c r="G68" s="285"/>
      <c r="H68" s="285"/>
      <c r="I68" s="285"/>
      <c r="J68" s="285"/>
      <c r="K68" s="286"/>
      <c r="O68"/>
      <c r="P68"/>
      <c r="Q68"/>
      <c r="R68"/>
      <c r="S68"/>
      <c r="T68"/>
      <c r="U68"/>
      <c r="V68"/>
      <c r="W68"/>
      <c r="X68"/>
      <c r="Y68"/>
    </row>
    <row r="69" spans="1:25">
      <c r="A69" s="304"/>
      <c r="B69" s="50" t="s">
        <v>1</v>
      </c>
      <c r="C69" s="51" t="s">
        <v>2</v>
      </c>
      <c r="D69" s="287" t="s">
        <v>2923</v>
      </c>
      <c r="E69" s="288"/>
      <c r="F69" s="288"/>
      <c r="G69" s="288"/>
      <c r="H69" s="288"/>
      <c r="I69" s="288"/>
      <c r="J69" s="289"/>
      <c r="K69" s="121" t="s">
        <v>3</v>
      </c>
    </row>
    <row r="70" spans="1:25">
      <c r="A70" s="304"/>
      <c r="B70" s="153"/>
      <c r="C70" s="154"/>
      <c r="D70" s="91" t="s">
        <v>2887</v>
      </c>
      <c r="E70" s="298"/>
      <c r="F70" s="299"/>
      <c r="G70" s="299"/>
      <c r="H70" s="299"/>
      <c r="I70" s="300"/>
      <c r="J70" s="226" t="s">
        <v>6</v>
      </c>
      <c r="K70" s="293"/>
    </row>
    <row r="71" spans="1:25" ht="15.75" thickBot="1">
      <c r="A71" s="304"/>
      <c r="B71" s="152"/>
      <c r="C71" s="5"/>
      <c r="D71" s="155" t="s">
        <v>2888</v>
      </c>
      <c r="E71" s="295"/>
      <c r="F71" s="296"/>
      <c r="G71" s="296"/>
      <c r="H71" s="296"/>
      <c r="I71" s="297"/>
      <c r="J71" s="156" t="s">
        <v>6</v>
      </c>
      <c r="K71" s="305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5.75" thickTop="1">
      <c r="A72" s="278" t="s">
        <v>2924</v>
      </c>
      <c r="B72" s="46" t="s">
        <v>4</v>
      </c>
      <c r="C72" s="281"/>
      <c r="D72" s="282"/>
      <c r="E72" s="282"/>
      <c r="F72" s="282"/>
      <c r="G72" s="282"/>
      <c r="H72" s="282"/>
      <c r="I72" s="282"/>
      <c r="J72" s="282"/>
      <c r="K72" s="283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>
      <c r="A73" s="279"/>
      <c r="B73" s="47" t="s">
        <v>7</v>
      </c>
      <c r="C73" s="284"/>
      <c r="D73" s="285"/>
      <c r="E73" s="285"/>
      <c r="F73" s="285"/>
      <c r="G73" s="285"/>
      <c r="H73" s="285"/>
      <c r="I73" s="285"/>
      <c r="J73" s="285"/>
      <c r="K73" s="286"/>
    </row>
    <row r="74" spans="1:25" ht="15.75" thickBot="1">
      <c r="A74" s="279"/>
      <c r="B74" s="48" t="s">
        <v>1</v>
      </c>
      <c r="C74" s="4" t="s">
        <v>2</v>
      </c>
      <c r="D74" s="287" t="s">
        <v>2923</v>
      </c>
      <c r="E74" s="288"/>
      <c r="F74" s="288"/>
      <c r="G74" s="288"/>
      <c r="H74" s="288"/>
      <c r="I74" s="288"/>
      <c r="J74" s="289"/>
      <c r="K74" s="121" t="s">
        <v>3</v>
      </c>
    </row>
    <row r="75" spans="1:25" ht="16.5" thickTop="1" thickBot="1">
      <c r="A75" s="279"/>
      <c r="B75" s="150"/>
      <c r="C75" s="52"/>
      <c r="D75" s="91" t="s">
        <v>2887</v>
      </c>
      <c r="E75" s="290"/>
      <c r="F75" s="291"/>
      <c r="G75" s="291"/>
      <c r="H75" s="291"/>
      <c r="I75" s="292"/>
      <c r="J75" s="226" t="s">
        <v>6</v>
      </c>
      <c r="K75" s="293"/>
    </row>
    <row r="76" spans="1:25" ht="16.5" thickTop="1" thickBot="1">
      <c r="A76" s="280"/>
      <c r="B76" s="252"/>
      <c r="C76" s="253"/>
      <c r="D76" s="155" t="s">
        <v>2888</v>
      </c>
      <c r="E76" s="295"/>
      <c r="F76" s="296"/>
      <c r="G76" s="296"/>
      <c r="H76" s="296"/>
      <c r="I76" s="297"/>
      <c r="J76" s="156" t="s">
        <v>6</v>
      </c>
      <c r="K76" s="294"/>
    </row>
    <row r="77" spans="1:25" ht="15.75" thickTop="1">
      <c r="A77" s="1" t="s">
        <v>2934</v>
      </c>
    </row>
  </sheetData>
  <mergeCells count="101">
    <mergeCell ref="C37:K37"/>
    <mergeCell ref="A37:A41"/>
    <mergeCell ref="K35:K36"/>
    <mergeCell ref="D34:J34"/>
    <mergeCell ref="D39:J39"/>
    <mergeCell ref="C38:K38"/>
    <mergeCell ref="C33:K33"/>
    <mergeCell ref="A30:A31"/>
    <mergeCell ref="B30:K31"/>
    <mergeCell ref="A62:A66"/>
    <mergeCell ref="C62:K62"/>
    <mergeCell ref="C63:K63"/>
    <mergeCell ref="D64:J64"/>
    <mergeCell ref="K65:K66"/>
    <mergeCell ref="E66:I66"/>
    <mergeCell ref="K60:K61"/>
    <mergeCell ref="C57:K57"/>
    <mergeCell ref="C58:K58"/>
    <mergeCell ref="C12:K12"/>
    <mergeCell ref="C22:K22"/>
    <mergeCell ref="D9:J9"/>
    <mergeCell ref="D14:J14"/>
    <mergeCell ref="D24:J24"/>
    <mergeCell ref="C13:K13"/>
    <mergeCell ref="C23:K23"/>
    <mergeCell ref="K25:K26"/>
    <mergeCell ref="A27:K27"/>
    <mergeCell ref="E25:I25"/>
    <mergeCell ref="E26:I26"/>
    <mergeCell ref="A55:A56"/>
    <mergeCell ref="B55:K56"/>
    <mergeCell ref="A17:A21"/>
    <mergeCell ref="E45:I45"/>
    <mergeCell ref="E46:I46"/>
    <mergeCell ref="E60:I60"/>
    <mergeCell ref="A52:K52"/>
    <mergeCell ref="A22:A26"/>
    <mergeCell ref="B29:K29"/>
    <mergeCell ref="K45:K46"/>
    <mergeCell ref="A42:A46"/>
    <mergeCell ref="K40:K41"/>
    <mergeCell ref="A57:A61"/>
    <mergeCell ref="B54:K54"/>
    <mergeCell ref="D59:J59"/>
    <mergeCell ref="E35:I35"/>
    <mergeCell ref="E36:I36"/>
    <mergeCell ref="E40:I40"/>
    <mergeCell ref="E41:I41"/>
    <mergeCell ref="D44:J44"/>
    <mergeCell ref="C43:K43"/>
    <mergeCell ref="C42:K42"/>
    <mergeCell ref="A32:A36"/>
    <mergeCell ref="B28:K28"/>
    <mergeCell ref="B1:D1"/>
    <mergeCell ref="G1:K1"/>
    <mergeCell ref="B3:K3"/>
    <mergeCell ref="C17:K17"/>
    <mergeCell ref="C18:K18"/>
    <mergeCell ref="D19:J19"/>
    <mergeCell ref="E20:I20"/>
    <mergeCell ref="K20:K21"/>
    <mergeCell ref="E21:I21"/>
    <mergeCell ref="B5:K6"/>
    <mergeCell ref="E1:F1"/>
    <mergeCell ref="B4:K4"/>
    <mergeCell ref="A2:K2"/>
    <mergeCell ref="A7:A11"/>
    <mergeCell ref="A12:A16"/>
    <mergeCell ref="K15:K16"/>
    <mergeCell ref="K10:K11"/>
    <mergeCell ref="E10:I10"/>
    <mergeCell ref="E11:I11"/>
    <mergeCell ref="E15:I15"/>
    <mergeCell ref="E16:I16"/>
    <mergeCell ref="A5:A6"/>
    <mergeCell ref="C7:K7"/>
    <mergeCell ref="C8:K8"/>
    <mergeCell ref="A72:A76"/>
    <mergeCell ref="C72:K72"/>
    <mergeCell ref="C73:K73"/>
    <mergeCell ref="D74:J74"/>
    <mergeCell ref="E75:I75"/>
    <mergeCell ref="K75:K76"/>
    <mergeCell ref="E76:I76"/>
    <mergeCell ref="A47:A51"/>
    <mergeCell ref="C47:K47"/>
    <mergeCell ref="C48:K48"/>
    <mergeCell ref="D49:J49"/>
    <mergeCell ref="E50:I50"/>
    <mergeCell ref="K50:K51"/>
    <mergeCell ref="E51:I51"/>
    <mergeCell ref="E61:I61"/>
    <mergeCell ref="E65:I65"/>
    <mergeCell ref="B53:K53"/>
    <mergeCell ref="A67:A71"/>
    <mergeCell ref="D69:J69"/>
    <mergeCell ref="K70:K71"/>
    <mergeCell ref="C67:K67"/>
    <mergeCell ref="C68:K68"/>
    <mergeCell ref="E70:I70"/>
    <mergeCell ref="E71:I7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19B059-7316-4B98-B1D2-0C7E50B84C63}">
          <x14:formula1>
            <xm:f>List!$A$1:$A$2</xm:f>
          </x14:formula1>
          <xm:sqref>B15:C15 B25:C25 B35:C35 B40:C40 B45:C45 B60:C60 B65:C65 B70:C70 B10:C10 B20:C20 B75:C75 B50:C50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5476-4A92-46C5-902B-4028422821BD}">
  <sheetPr codeName="Sheet2"/>
  <dimension ref="A1:S153"/>
  <sheetViews>
    <sheetView tabSelected="1" topLeftCell="A103" zoomScaleNormal="100" workbookViewId="0">
      <selection activeCell="N123" sqref="N123"/>
    </sheetView>
  </sheetViews>
  <sheetFormatPr defaultRowHeight="15"/>
  <cols>
    <col min="1" max="1" width="30.28515625" customWidth="1"/>
    <col min="2" max="2" width="42.42578125" style="20" customWidth="1"/>
    <col min="3" max="3" width="3.28515625" customWidth="1"/>
    <col min="4" max="4" width="12.42578125" customWidth="1"/>
    <col min="5" max="5" width="8.28515625" customWidth="1"/>
    <col min="6" max="6" width="6.7109375" style="20" customWidth="1"/>
    <col min="7" max="7" width="11.28515625" customWidth="1"/>
    <col min="8" max="8" width="17" customWidth="1"/>
    <col min="9" max="9" width="8.42578125" customWidth="1"/>
    <col min="10" max="10" width="3.5703125" customWidth="1"/>
    <col min="11" max="11" width="7.5703125" customWidth="1"/>
    <col min="12" max="12" width="11.140625" customWidth="1"/>
    <col min="13" max="13" width="11" customWidth="1"/>
    <col min="14" max="14" width="23" customWidth="1"/>
  </cols>
  <sheetData>
    <row r="1" spans="1:19" ht="30" customHeight="1" thickTop="1" thickBot="1">
      <c r="A1" s="191" t="s">
        <v>2886</v>
      </c>
      <c r="B1" s="171">
        <v>6</v>
      </c>
      <c r="C1" s="318" t="s">
        <v>2879</v>
      </c>
      <c r="D1" s="319"/>
      <c r="E1" s="307" t="str">
        <f>Hydrological!G1</f>
        <v>Bull Creek North</v>
      </c>
      <c r="F1" s="307"/>
      <c r="G1" s="307"/>
      <c r="H1" s="307"/>
      <c r="I1" s="307"/>
      <c r="J1" s="307"/>
      <c r="K1" s="307"/>
      <c r="L1" s="307"/>
      <c r="M1" s="307"/>
      <c r="N1" s="308"/>
    </row>
    <row r="2" spans="1:19" ht="64.5" customHeight="1" thickTop="1" thickBot="1">
      <c r="A2" s="409" t="s">
        <v>2880</v>
      </c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</row>
    <row r="3" spans="1:19" ht="16.5" thickTop="1" thickBot="1">
      <c r="A3" s="190" t="s">
        <v>5</v>
      </c>
      <c r="B3" s="157">
        <v>42342</v>
      </c>
      <c r="C3" s="204"/>
      <c r="D3" s="165" t="s">
        <v>2857</v>
      </c>
      <c r="E3" s="423" t="s">
        <v>2938</v>
      </c>
      <c r="F3" s="341"/>
      <c r="G3" s="341"/>
      <c r="H3" s="341"/>
      <c r="I3" s="341"/>
      <c r="J3" s="341"/>
      <c r="K3" s="341"/>
      <c r="L3" s="341"/>
      <c r="M3" s="341"/>
      <c r="N3" s="342"/>
    </row>
    <row r="4" spans="1:19" ht="16.5" thickTop="1" thickBot="1">
      <c r="A4" s="167" t="s">
        <v>10</v>
      </c>
      <c r="B4" s="56">
        <v>1</v>
      </c>
      <c r="C4" s="11" t="s">
        <v>15</v>
      </c>
      <c r="D4" s="54"/>
      <c r="E4" s="53"/>
      <c r="F4" s="53"/>
      <c r="G4" s="53"/>
      <c r="H4" s="53"/>
      <c r="I4" s="53"/>
      <c r="J4" s="53"/>
      <c r="K4" s="53"/>
      <c r="L4" s="53"/>
      <c r="M4" s="53"/>
      <c r="N4" s="55"/>
    </row>
    <row r="5" spans="1:19" ht="16.5" thickTop="1" thickBot="1">
      <c r="A5" s="196" t="s">
        <v>2926</v>
      </c>
      <c r="B5" s="123" t="s">
        <v>11</v>
      </c>
      <c r="C5" s="124" t="s">
        <v>15</v>
      </c>
      <c r="D5" s="343" t="s">
        <v>2931</v>
      </c>
      <c r="E5" s="344"/>
      <c r="F5" s="344"/>
      <c r="G5" s="344"/>
      <c r="H5" s="344"/>
      <c r="I5" s="344"/>
      <c r="J5" s="345"/>
      <c r="K5" s="194"/>
      <c r="L5" s="192" t="s">
        <v>3</v>
      </c>
      <c r="M5" s="192"/>
      <c r="N5" s="193"/>
    </row>
    <row r="6" spans="1:19" s="2" customFormat="1" ht="14.25" customHeight="1" thickTop="1">
      <c r="A6" s="327" t="s">
        <v>2878</v>
      </c>
      <c r="B6" s="349"/>
      <c r="C6" s="197"/>
      <c r="D6" s="195" t="s">
        <v>2887</v>
      </c>
      <c r="E6" s="351">
        <v>28.10788333</v>
      </c>
      <c r="F6" s="352"/>
      <c r="G6" s="352"/>
      <c r="H6" s="352"/>
      <c r="I6" s="353"/>
      <c r="J6" s="354" t="s">
        <v>6</v>
      </c>
      <c r="K6" s="356">
        <v>58.57</v>
      </c>
      <c r="L6" s="357"/>
      <c r="M6" s="357"/>
      <c r="N6" s="358"/>
    </row>
    <row r="7" spans="1:19" s="2" customFormat="1" ht="15.75" thickBot="1">
      <c r="A7" s="328"/>
      <c r="B7" s="350"/>
      <c r="C7" s="267"/>
      <c r="D7" s="268" t="s">
        <v>2888</v>
      </c>
      <c r="E7" s="434">
        <v>80.978399999999993</v>
      </c>
      <c r="F7" s="435"/>
      <c r="G7" s="435"/>
      <c r="H7" s="435"/>
      <c r="I7" s="436"/>
      <c r="J7" s="355"/>
      <c r="K7" s="359"/>
      <c r="L7" s="360"/>
      <c r="M7" s="360"/>
      <c r="N7" s="361"/>
    </row>
    <row r="8" spans="1:19" s="2" customFormat="1" ht="37.5" customHeight="1" thickTop="1" thickBot="1">
      <c r="A8" s="254" t="s">
        <v>2900</v>
      </c>
      <c r="B8" s="371" t="s">
        <v>3019</v>
      </c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3"/>
    </row>
    <row r="9" spans="1:19" s="2" customFormat="1" ht="16.5" thickTop="1" thickBot="1">
      <c r="A9" s="411" t="s">
        <v>16</v>
      </c>
      <c r="B9" s="412"/>
      <c r="C9" s="412"/>
      <c r="D9" s="412"/>
      <c r="E9" s="412"/>
      <c r="F9" s="412"/>
      <c r="G9" s="413"/>
      <c r="H9" s="420" t="s">
        <v>2961</v>
      </c>
      <c r="I9" s="421"/>
      <c r="J9" s="421"/>
      <c r="K9" s="421"/>
      <c r="L9" s="421"/>
      <c r="M9" s="421"/>
      <c r="N9" s="422"/>
    </row>
    <row r="10" spans="1:19" ht="45.75" customHeight="1" thickTop="1">
      <c r="A10" s="162" t="s">
        <v>2874</v>
      </c>
      <c r="B10" s="424" t="s">
        <v>17</v>
      </c>
      <c r="C10" s="424"/>
      <c r="D10" s="75" t="s">
        <v>18</v>
      </c>
      <c r="E10" s="77" t="s">
        <v>2896</v>
      </c>
      <c r="F10" s="392" t="s">
        <v>2875</v>
      </c>
      <c r="G10" s="393"/>
      <c r="H10" s="416" t="s">
        <v>19</v>
      </c>
      <c r="I10" s="416"/>
      <c r="J10" s="416"/>
      <c r="K10" s="416"/>
      <c r="L10" s="416"/>
      <c r="M10" s="416"/>
      <c r="N10" s="417"/>
    </row>
    <row r="11" spans="1:19">
      <c r="A11" s="158" t="s">
        <v>2939</v>
      </c>
      <c r="B11" s="369" t="s">
        <v>2945</v>
      </c>
      <c r="C11" s="370"/>
      <c r="D11" s="159" t="s">
        <v>2951</v>
      </c>
      <c r="E11" s="159" t="s">
        <v>2952</v>
      </c>
      <c r="F11" s="269" t="s">
        <v>2955</v>
      </c>
      <c r="G11" s="270"/>
      <c r="H11" s="418" t="s">
        <v>2956</v>
      </c>
      <c r="I11" s="418"/>
      <c r="J11" s="418"/>
      <c r="K11" s="418"/>
      <c r="L11" s="418"/>
      <c r="M11" s="418"/>
      <c r="N11" s="419"/>
      <c r="R11" s="20"/>
      <c r="S11" s="20"/>
    </row>
    <row r="12" spans="1:19">
      <c r="A12" s="158" t="s">
        <v>2940</v>
      </c>
      <c r="B12" s="369" t="s">
        <v>2946</v>
      </c>
      <c r="C12" s="370"/>
      <c r="D12" s="228" t="s">
        <v>2951</v>
      </c>
      <c r="E12" s="159" t="s">
        <v>2952</v>
      </c>
      <c r="F12" s="269" t="s">
        <v>2955</v>
      </c>
      <c r="G12" s="270"/>
      <c r="H12" s="414" t="s">
        <v>2957</v>
      </c>
      <c r="I12" s="285"/>
      <c r="J12" s="285"/>
      <c r="K12" s="285"/>
      <c r="L12" s="285"/>
      <c r="M12" s="285"/>
      <c r="N12" s="286"/>
    </row>
    <row r="13" spans="1:19">
      <c r="A13" s="158" t="s">
        <v>2941</v>
      </c>
      <c r="B13" s="369" t="s">
        <v>2947</v>
      </c>
      <c r="C13" s="370"/>
      <c r="D13" s="228" t="s">
        <v>2951</v>
      </c>
      <c r="E13" s="159" t="s">
        <v>2952</v>
      </c>
      <c r="F13" s="269" t="s">
        <v>2955</v>
      </c>
      <c r="G13" s="270"/>
      <c r="H13" s="414" t="s">
        <v>2958</v>
      </c>
      <c r="I13" s="285"/>
      <c r="J13" s="285"/>
      <c r="K13" s="285"/>
      <c r="L13" s="285"/>
      <c r="M13" s="285"/>
      <c r="N13" s="286"/>
    </row>
    <row r="14" spans="1:19">
      <c r="A14" s="158" t="s">
        <v>2942</v>
      </c>
      <c r="B14" s="369" t="s">
        <v>2948</v>
      </c>
      <c r="C14" s="370"/>
      <c r="D14" s="228" t="s">
        <v>2951</v>
      </c>
      <c r="E14" s="159" t="s">
        <v>2953</v>
      </c>
      <c r="F14" s="269" t="s">
        <v>2955</v>
      </c>
      <c r="G14" s="270"/>
      <c r="H14" s="414" t="s">
        <v>2959</v>
      </c>
      <c r="I14" s="285"/>
      <c r="J14" s="285"/>
      <c r="K14" s="285"/>
      <c r="L14" s="285"/>
      <c r="M14" s="285"/>
      <c r="N14" s="286"/>
    </row>
    <row r="15" spans="1:19">
      <c r="A15" s="158" t="s">
        <v>2943</v>
      </c>
      <c r="B15" s="369" t="s">
        <v>2949</v>
      </c>
      <c r="C15" s="370"/>
      <c r="D15" s="228" t="s">
        <v>2951</v>
      </c>
      <c r="E15" s="159" t="s">
        <v>2953</v>
      </c>
      <c r="F15" s="269" t="s">
        <v>2955</v>
      </c>
      <c r="G15" s="270"/>
      <c r="H15" s="414" t="s">
        <v>2960</v>
      </c>
      <c r="I15" s="285"/>
      <c r="J15" s="285"/>
      <c r="K15" s="285"/>
      <c r="L15" s="285"/>
      <c r="M15" s="285"/>
      <c r="N15" s="286"/>
    </row>
    <row r="16" spans="1:19" s="20" customFormat="1">
      <c r="A16" s="160" t="s">
        <v>2944</v>
      </c>
      <c r="B16" s="369" t="s">
        <v>2950</v>
      </c>
      <c r="C16" s="370"/>
      <c r="D16" s="228" t="s">
        <v>2951</v>
      </c>
      <c r="E16" s="161" t="s">
        <v>2954</v>
      </c>
      <c r="F16" s="269" t="s">
        <v>2955</v>
      </c>
      <c r="G16" s="270"/>
      <c r="H16" s="334"/>
      <c r="I16" s="334"/>
      <c r="J16" s="334"/>
      <c r="K16" s="334"/>
      <c r="L16" s="334"/>
      <c r="M16" s="334"/>
      <c r="N16" s="335"/>
    </row>
    <row r="17" spans="1:19" s="20" customFormat="1">
      <c r="A17" s="160"/>
      <c r="B17" s="369"/>
      <c r="C17" s="370"/>
      <c r="D17" s="161"/>
      <c r="E17" s="161"/>
      <c r="F17" s="369"/>
      <c r="G17" s="370"/>
      <c r="H17" s="334"/>
      <c r="I17" s="334"/>
      <c r="J17" s="334"/>
      <c r="K17" s="334"/>
      <c r="L17" s="334"/>
      <c r="M17" s="334"/>
      <c r="N17" s="335"/>
    </row>
    <row r="18" spans="1:19" s="20" customFormat="1">
      <c r="A18" s="160"/>
      <c r="B18" s="369"/>
      <c r="C18" s="370"/>
      <c r="D18" s="161"/>
      <c r="E18" s="161"/>
      <c r="F18" s="425"/>
      <c r="G18" s="426"/>
      <c r="H18" s="334"/>
      <c r="I18" s="334"/>
      <c r="J18" s="334"/>
      <c r="K18" s="334"/>
      <c r="L18" s="334"/>
      <c r="M18" s="334"/>
      <c r="N18" s="335"/>
    </row>
    <row r="19" spans="1:19" s="20" customFormat="1" ht="15.75" thickBot="1">
      <c r="A19" s="160"/>
      <c r="B19" s="390"/>
      <c r="C19" s="391"/>
      <c r="D19" s="161"/>
      <c r="E19" s="161"/>
      <c r="F19" s="390"/>
      <c r="G19" s="391"/>
      <c r="H19" s="334"/>
      <c r="I19" s="334"/>
      <c r="J19" s="334"/>
      <c r="K19" s="334"/>
      <c r="L19" s="334"/>
      <c r="M19" s="334"/>
      <c r="N19" s="335"/>
    </row>
    <row r="20" spans="1:19" ht="16.5" thickTop="1" thickBot="1">
      <c r="A20" s="59" t="s">
        <v>20</v>
      </c>
      <c r="B20" s="60" t="s">
        <v>31</v>
      </c>
      <c r="C20" s="11" t="s">
        <v>15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/>
      <c r="Q20" s="2"/>
    </row>
    <row r="21" spans="1:19" ht="45.75" thickTop="1">
      <c r="A21" s="397" t="s">
        <v>22</v>
      </c>
      <c r="B21" s="398"/>
      <c r="C21" s="393"/>
      <c r="D21" s="415" t="s">
        <v>21</v>
      </c>
      <c r="E21" s="415"/>
      <c r="F21" s="415"/>
      <c r="G21" s="415"/>
      <c r="H21" s="415" t="s">
        <v>23</v>
      </c>
      <c r="I21" s="415"/>
      <c r="J21" s="415"/>
      <c r="K21" s="415" t="s">
        <v>24</v>
      </c>
      <c r="L21" s="415"/>
      <c r="M21" s="38" t="s">
        <v>25</v>
      </c>
      <c r="N21" s="39" t="s">
        <v>26</v>
      </c>
    </row>
    <row r="22" spans="1:19">
      <c r="A22" s="367"/>
      <c r="B22" s="368"/>
      <c r="C22" s="45"/>
      <c r="D22" s="399"/>
      <c r="E22" s="399"/>
      <c r="F22" s="364"/>
      <c r="G22" s="364"/>
      <c r="H22" s="399"/>
      <c r="I22" s="399"/>
      <c r="J22" s="399"/>
      <c r="K22" s="400" t="s">
        <v>2962</v>
      </c>
      <c r="L22" s="400"/>
      <c r="M22" s="34">
        <v>6</v>
      </c>
      <c r="N22" s="35">
        <v>18</v>
      </c>
    </row>
    <row r="23" spans="1:19">
      <c r="A23" s="367"/>
      <c r="B23" s="368"/>
      <c r="C23" s="45"/>
      <c r="D23" s="399"/>
      <c r="E23" s="399"/>
      <c r="F23" s="399"/>
      <c r="G23" s="399"/>
      <c r="H23" s="399"/>
      <c r="I23" s="399"/>
      <c r="J23" s="399"/>
      <c r="K23" s="400" t="s">
        <v>2963</v>
      </c>
      <c r="L23" s="400"/>
      <c r="M23" s="41">
        <v>3</v>
      </c>
      <c r="N23" s="35">
        <v>18</v>
      </c>
    </row>
    <row r="24" spans="1:19">
      <c r="A24" s="367"/>
      <c r="B24" s="368"/>
      <c r="C24" s="363"/>
      <c r="D24" s="364"/>
      <c r="E24" s="365"/>
      <c r="F24" s="365"/>
      <c r="G24" s="366"/>
      <c r="H24" s="364"/>
      <c r="I24" s="365"/>
      <c r="J24" s="366"/>
      <c r="K24" s="362"/>
      <c r="L24" s="368"/>
      <c r="M24" s="42"/>
      <c r="N24" s="27"/>
    </row>
    <row r="25" spans="1:19">
      <c r="A25" s="367"/>
      <c r="B25" s="368"/>
      <c r="C25" s="363"/>
      <c r="D25" s="364"/>
      <c r="E25" s="365"/>
      <c r="F25" s="365"/>
      <c r="G25" s="366"/>
      <c r="H25" s="364"/>
      <c r="I25" s="365"/>
      <c r="J25" s="366"/>
      <c r="K25" s="362"/>
      <c r="L25" s="363"/>
      <c r="M25" s="33"/>
      <c r="N25" s="35"/>
    </row>
    <row r="26" spans="1:19">
      <c r="A26" s="135"/>
      <c r="B26" s="136"/>
      <c r="C26" s="32"/>
      <c r="D26" s="399"/>
      <c r="E26" s="399"/>
      <c r="F26" s="399"/>
      <c r="G26" s="399"/>
      <c r="H26" s="399"/>
      <c r="I26" s="399"/>
      <c r="J26" s="399"/>
      <c r="K26" s="400"/>
      <c r="L26" s="400"/>
      <c r="M26" s="34"/>
      <c r="N26" s="35"/>
    </row>
    <row r="27" spans="1:19">
      <c r="A27" s="9"/>
      <c r="B27" s="8"/>
      <c r="C27" s="132"/>
      <c r="D27" s="407"/>
      <c r="E27" s="407"/>
      <c r="F27" s="407"/>
      <c r="G27" s="407"/>
      <c r="H27" s="399"/>
      <c r="I27" s="399"/>
      <c r="J27" s="399"/>
      <c r="K27" s="400"/>
      <c r="L27" s="400"/>
      <c r="M27" s="34"/>
      <c r="N27" s="35"/>
      <c r="S27" s="12"/>
    </row>
    <row r="28" spans="1:19" s="20" customFormat="1">
      <c r="A28" s="9"/>
      <c r="B28" s="8"/>
      <c r="C28" s="8"/>
      <c r="D28" s="84"/>
      <c r="E28" s="84"/>
      <c r="F28" s="169"/>
      <c r="G28" s="85"/>
      <c r="H28" s="362"/>
      <c r="I28" s="368"/>
      <c r="J28" s="363"/>
      <c r="K28" s="362"/>
      <c r="L28" s="363"/>
      <c r="M28" s="83"/>
      <c r="N28" s="43"/>
    </row>
    <row r="29" spans="1:19" s="20" customFormat="1">
      <c r="A29" s="9"/>
      <c r="B29" s="8"/>
      <c r="C29" s="8"/>
      <c r="D29" s="89"/>
      <c r="E29" s="89"/>
      <c r="F29" s="169"/>
      <c r="G29" s="90"/>
      <c r="H29" s="362"/>
      <c r="I29" s="368"/>
      <c r="J29" s="363"/>
      <c r="K29" s="86"/>
      <c r="L29" s="87"/>
      <c r="M29" s="88"/>
      <c r="N29" s="43"/>
    </row>
    <row r="30" spans="1:19">
      <c r="A30" s="255" t="s">
        <v>28</v>
      </c>
      <c r="B30" s="376">
        <v>31</v>
      </c>
      <c r="C30" s="377"/>
      <c r="D30" s="374" t="s">
        <v>2876</v>
      </c>
      <c r="E30" s="374"/>
      <c r="F30" s="374"/>
      <c r="G30" s="374"/>
      <c r="H30" s="375"/>
      <c r="I30" s="378">
        <v>3</v>
      </c>
      <c r="J30" s="379"/>
      <c r="K30" s="379"/>
      <c r="L30" s="379"/>
      <c r="M30" s="379"/>
      <c r="N30" s="380"/>
    </row>
    <row r="31" spans="1:19" ht="15.75" customHeight="1">
      <c r="A31" s="401" t="s">
        <v>27</v>
      </c>
      <c r="B31" s="402"/>
      <c r="C31" s="402"/>
      <c r="D31" s="402"/>
      <c r="E31" s="402"/>
      <c r="F31" s="403"/>
      <c r="G31" s="202">
        <v>18</v>
      </c>
      <c r="H31" s="198"/>
      <c r="I31" s="142"/>
      <c r="J31" s="142"/>
      <c r="K31" s="142"/>
      <c r="L31" s="142"/>
      <c r="M31" s="142"/>
      <c r="N31" s="143"/>
    </row>
    <row r="32" spans="1:19" ht="15.75" thickBot="1">
      <c r="A32" s="256" t="s">
        <v>29</v>
      </c>
      <c r="B32" s="200" t="s">
        <v>31</v>
      </c>
      <c r="C32" s="201" t="s">
        <v>15</v>
      </c>
      <c r="D32" s="381" t="s">
        <v>2905</v>
      </c>
      <c r="E32" s="394"/>
      <c r="F32" s="381"/>
      <c r="G32" s="382"/>
      <c r="H32" s="382"/>
      <c r="I32" s="382"/>
      <c r="J32" s="382"/>
      <c r="K32" s="382"/>
      <c r="L32" s="382"/>
      <c r="M32" s="382"/>
      <c r="N32" s="383"/>
    </row>
    <row r="33" spans="1:15" ht="16.5" thickTop="1" thickBot="1">
      <c r="A33" s="257" t="s">
        <v>30</v>
      </c>
      <c r="B33" s="61" t="s">
        <v>31</v>
      </c>
      <c r="C33" s="11" t="s">
        <v>15</v>
      </c>
      <c r="D33" s="384"/>
      <c r="E33" s="395"/>
      <c r="F33" s="384"/>
      <c r="G33" s="385"/>
      <c r="H33" s="385"/>
      <c r="I33" s="385"/>
      <c r="J33" s="385"/>
      <c r="K33" s="385"/>
      <c r="L33" s="385"/>
      <c r="M33" s="385"/>
      <c r="N33" s="386"/>
    </row>
    <row r="34" spans="1:15" ht="16.5" thickTop="1" thickBot="1">
      <c r="A34" s="258" t="s">
        <v>2877</v>
      </c>
      <c r="B34" s="61" t="s">
        <v>31</v>
      </c>
      <c r="C34" s="11" t="s">
        <v>15</v>
      </c>
      <c r="D34" s="387"/>
      <c r="E34" s="396"/>
      <c r="F34" s="387"/>
      <c r="G34" s="388"/>
      <c r="H34" s="388"/>
      <c r="I34" s="388"/>
      <c r="J34" s="388"/>
      <c r="K34" s="388"/>
      <c r="L34" s="388"/>
      <c r="M34" s="388"/>
      <c r="N34" s="389"/>
    </row>
    <row r="35" spans="1:15" ht="66" customHeight="1" thickTop="1" thickBot="1">
      <c r="A35" s="321" t="s">
        <v>2881</v>
      </c>
      <c r="B35" s="322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4"/>
    </row>
    <row r="36" spans="1:15" ht="16.5" thickTop="1" thickBot="1">
      <c r="A36" s="165" t="s">
        <v>5</v>
      </c>
      <c r="B36" s="78">
        <v>42342</v>
      </c>
      <c r="C36" s="204"/>
      <c r="D36" s="165" t="s">
        <v>2857</v>
      </c>
      <c r="E36" s="423" t="s">
        <v>2938</v>
      </c>
      <c r="F36" s="341"/>
      <c r="G36" s="341"/>
      <c r="H36" s="341"/>
      <c r="I36" s="341"/>
      <c r="J36" s="341"/>
      <c r="K36" s="341"/>
      <c r="L36" s="341"/>
      <c r="M36" s="341"/>
      <c r="N36" s="342"/>
    </row>
    <row r="37" spans="1:15" ht="16.5" thickTop="1" thickBot="1">
      <c r="A37" s="167" t="s">
        <v>10</v>
      </c>
      <c r="B37" s="56">
        <v>1</v>
      </c>
      <c r="C37" s="11" t="s">
        <v>15</v>
      </c>
      <c r="D37" s="54"/>
      <c r="E37" s="53"/>
      <c r="F37" s="53"/>
      <c r="G37" s="53"/>
      <c r="H37" s="53"/>
      <c r="I37" s="53"/>
      <c r="J37" s="53"/>
      <c r="K37" s="53"/>
      <c r="L37" s="53"/>
      <c r="M37" s="53"/>
      <c r="N37" s="55"/>
    </row>
    <row r="38" spans="1:15" ht="16.5" thickTop="1" thickBot="1">
      <c r="A38" s="165" t="s">
        <v>2927</v>
      </c>
      <c r="B38" s="10" t="s">
        <v>12</v>
      </c>
      <c r="C38" s="11" t="s">
        <v>15</v>
      </c>
      <c r="D38" s="343" t="s">
        <v>2931</v>
      </c>
      <c r="E38" s="344"/>
      <c r="F38" s="344"/>
      <c r="G38" s="344"/>
      <c r="H38" s="344"/>
      <c r="I38" s="344"/>
      <c r="J38" s="345"/>
      <c r="K38" s="346" t="s">
        <v>3</v>
      </c>
      <c r="L38" s="347"/>
      <c r="M38" s="347"/>
      <c r="N38" s="348"/>
    </row>
    <row r="39" spans="1:15" s="20" customFormat="1" ht="15.75" thickTop="1">
      <c r="A39" s="327" t="s">
        <v>2878</v>
      </c>
      <c r="B39" s="349"/>
      <c r="C39" s="197"/>
      <c r="D39" s="195" t="s">
        <v>2887</v>
      </c>
      <c r="E39" s="351">
        <v>28.107816660000001</v>
      </c>
      <c r="F39" s="352"/>
      <c r="G39" s="352"/>
      <c r="H39" s="352"/>
      <c r="I39" s="353"/>
      <c r="J39" s="354" t="s">
        <v>6</v>
      </c>
      <c r="K39" s="356">
        <v>57.93</v>
      </c>
      <c r="L39" s="357"/>
      <c r="M39" s="357"/>
      <c r="N39" s="358"/>
    </row>
    <row r="40" spans="1:15" s="20" customFormat="1" ht="15.75" thickBot="1">
      <c r="A40" s="328"/>
      <c r="B40" s="350"/>
      <c r="C40" s="267"/>
      <c r="D40" s="268" t="s">
        <v>2888</v>
      </c>
      <c r="E40" s="434">
        <v>80.978333329999998</v>
      </c>
      <c r="F40" s="435"/>
      <c r="G40" s="435"/>
      <c r="H40" s="435"/>
      <c r="I40" s="436"/>
      <c r="J40" s="355"/>
      <c r="K40" s="359"/>
      <c r="L40" s="360"/>
      <c r="M40" s="360"/>
      <c r="N40" s="361"/>
    </row>
    <row r="41" spans="1:15" ht="37.5" customHeight="1" thickTop="1" thickBot="1">
      <c r="A41" s="254" t="s">
        <v>2900</v>
      </c>
      <c r="B41" s="371" t="s">
        <v>3019</v>
      </c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3"/>
    </row>
    <row r="42" spans="1:15" ht="45.75" thickTop="1">
      <c r="A42" s="162" t="s">
        <v>2874</v>
      </c>
      <c r="B42" s="424" t="s">
        <v>17</v>
      </c>
      <c r="C42" s="424"/>
      <c r="D42" s="75" t="s">
        <v>18</v>
      </c>
      <c r="E42" s="77" t="s">
        <v>2896</v>
      </c>
      <c r="F42" s="392" t="s">
        <v>2875</v>
      </c>
      <c r="G42" s="393"/>
      <c r="H42" s="415" t="s">
        <v>19</v>
      </c>
      <c r="I42" s="415"/>
      <c r="J42" s="415"/>
      <c r="K42" s="415"/>
      <c r="L42" s="415"/>
      <c r="M42" s="415"/>
      <c r="N42" s="427"/>
      <c r="O42" s="2"/>
    </row>
    <row r="43" spans="1:15">
      <c r="A43" s="158" t="s">
        <v>2939</v>
      </c>
      <c r="B43" s="369" t="s">
        <v>2964</v>
      </c>
      <c r="C43" s="370"/>
      <c r="D43" s="159" t="s">
        <v>2951</v>
      </c>
      <c r="E43" s="159" t="s">
        <v>2952</v>
      </c>
      <c r="F43" s="369" t="s">
        <v>2955</v>
      </c>
      <c r="G43" s="370"/>
      <c r="H43" s="428" t="s">
        <v>2967</v>
      </c>
      <c r="I43" s="428"/>
      <c r="J43" s="428"/>
      <c r="K43" s="428"/>
      <c r="L43" s="428"/>
      <c r="M43" s="428"/>
      <c r="N43" s="429"/>
    </row>
    <row r="44" spans="1:15">
      <c r="A44" s="158" t="s">
        <v>2940</v>
      </c>
      <c r="B44" s="369" t="s">
        <v>2965</v>
      </c>
      <c r="C44" s="370"/>
      <c r="D44" s="159" t="s">
        <v>2951</v>
      </c>
      <c r="E44" s="159" t="s">
        <v>2966</v>
      </c>
      <c r="F44" s="369" t="s">
        <v>2955</v>
      </c>
      <c r="G44" s="370"/>
      <c r="H44" s="430" t="s">
        <v>2968</v>
      </c>
      <c r="I44" s="431"/>
      <c r="J44" s="431"/>
      <c r="K44" s="431"/>
      <c r="L44" s="431"/>
      <c r="M44" s="431"/>
      <c r="N44" s="432"/>
    </row>
    <row r="45" spans="1:15">
      <c r="A45" s="158"/>
      <c r="B45" s="369"/>
      <c r="C45" s="370"/>
      <c r="D45" s="159"/>
      <c r="E45" s="159"/>
      <c r="F45" s="369"/>
      <c r="G45" s="370"/>
      <c r="H45" s="336"/>
      <c r="I45" s="336"/>
      <c r="J45" s="336"/>
      <c r="K45" s="336"/>
      <c r="L45" s="336"/>
      <c r="M45" s="336"/>
      <c r="N45" s="337"/>
    </row>
    <row r="46" spans="1:15" s="20" customFormat="1">
      <c r="A46" s="158"/>
      <c r="B46" s="369"/>
      <c r="C46" s="370"/>
      <c r="D46" s="228"/>
      <c r="E46" s="228"/>
      <c r="F46" s="369"/>
      <c r="G46" s="370"/>
      <c r="H46" s="336"/>
      <c r="I46" s="336"/>
      <c r="J46" s="336"/>
      <c r="K46" s="336"/>
      <c r="L46" s="336"/>
      <c r="M46" s="336"/>
      <c r="N46" s="337"/>
    </row>
    <row r="47" spans="1:15" s="20" customFormat="1">
      <c r="A47" s="158"/>
      <c r="B47" s="369"/>
      <c r="C47" s="370"/>
      <c r="D47" s="228"/>
      <c r="E47" s="228"/>
      <c r="F47" s="369"/>
      <c r="G47" s="370"/>
      <c r="H47" s="336"/>
      <c r="I47" s="336"/>
      <c r="J47" s="336"/>
      <c r="K47" s="336"/>
      <c r="L47" s="336"/>
      <c r="M47" s="336"/>
      <c r="N47" s="337"/>
    </row>
    <row r="48" spans="1:15">
      <c r="A48" s="158"/>
      <c r="B48" s="369"/>
      <c r="C48" s="370"/>
      <c r="D48" s="159"/>
      <c r="E48" s="159"/>
      <c r="F48" s="369"/>
      <c r="G48" s="370"/>
      <c r="H48" s="336"/>
      <c r="I48" s="336"/>
      <c r="J48" s="336"/>
      <c r="K48" s="336"/>
      <c r="L48" s="336"/>
      <c r="M48" s="336"/>
      <c r="N48" s="337"/>
    </row>
    <row r="49" spans="1:14" s="20" customFormat="1">
      <c r="A49" s="158"/>
      <c r="B49" s="369"/>
      <c r="C49" s="370"/>
      <c r="D49" s="228"/>
      <c r="E49" s="228"/>
      <c r="F49" s="369"/>
      <c r="G49" s="370"/>
      <c r="H49" s="336"/>
      <c r="I49" s="336"/>
      <c r="J49" s="336"/>
      <c r="K49" s="336"/>
      <c r="L49" s="336"/>
      <c r="M49" s="336"/>
      <c r="N49" s="337"/>
    </row>
    <row r="50" spans="1:14">
      <c r="A50" s="158"/>
      <c r="B50" s="369"/>
      <c r="C50" s="370"/>
      <c r="D50" s="159"/>
      <c r="E50" s="159"/>
      <c r="F50" s="369"/>
      <c r="G50" s="370"/>
      <c r="H50" s="336"/>
      <c r="I50" s="336"/>
      <c r="J50" s="336"/>
      <c r="K50" s="336"/>
      <c r="L50" s="336"/>
      <c r="M50" s="336"/>
      <c r="N50" s="337"/>
    </row>
    <row r="51" spans="1:14" ht="15.75" thickBot="1">
      <c r="A51" s="160"/>
      <c r="B51" s="425"/>
      <c r="C51" s="426"/>
      <c r="D51" s="161"/>
      <c r="E51" s="161"/>
      <c r="F51" s="390"/>
      <c r="G51" s="391"/>
      <c r="H51" s="336"/>
      <c r="I51" s="336"/>
      <c r="J51" s="336"/>
      <c r="K51" s="336"/>
      <c r="L51" s="336"/>
      <c r="M51" s="336"/>
      <c r="N51" s="337"/>
    </row>
    <row r="52" spans="1:14" ht="16.5" thickTop="1" thickBot="1">
      <c r="A52" s="59" t="s">
        <v>20</v>
      </c>
      <c r="B52" s="60" t="s">
        <v>31</v>
      </c>
      <c r="C52" s="11" t="s">
        <v>15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8"/>
    </row>
    <row r="53" spans="1:14" ht="45.75" thickTop="1">
      <c r="A53" s="397" t="s">
        <v>22</v>
      </c>
      <c r="B53" s="398"/>
      <c r="C53" s="393"/>
      <c r="D53" s="415" t="s">
        <v>21</v>
      </c>
      <c r="E53" s="415"/>
      <c r="F53" s="415"/>
      <c r="G53" s="415"/>
      <c r="H53" s="415" t="s">
        <v>23</v>
      </c>
      <c r="I53" s="415"/>
      <c r="J53" s="415"/>
      <c r="K53" s="415" t="s">
        <v>24</v>
      </c>
      <c r="L53" s="415"/>
      <c r="M53" s="38" t="s">
        <v>25</v>
      </c>
      <c r="N53" s="39" t="s">
        <v>26</v>
      </c>
    </row>
    <row r="54" spans="1:14">
      <c r="A54" s="367"/>
      <c r="B54" s="368"/>
      <c r="C54" s="45"/>
      <c r="D54" s="399"/>
      <c r="E54" s="399"/>
      <c r="F54" s="364"/>
      <c r="G54" s="364"/>
      <c r="H54" s="399"/>
      <c r="I54" s="399"/>
      <c r="J54" s="399"/>
      <c r="K54" s="400" t="s">
        <v>2969</v>
      </c>
      <c r="L54" s="400"/>
      <c r="M54" s="34">
        <v>0</v>
      </c>
      <c r="N54" s="35">
        <v>4</v>
      </c>
    </row>
    <row r="55" spans="1:14">
      <c r="A55" s="367"/>
      <c r="B55" s="368"/>
      <c r="C55" s="45"/>
      <c r="D55" s="399"/>
      <c r="E55" s="399"/>
      <c r="F55" s="399"/>
      <c r="G55" s="399"/>
      <c r="H55" s="399"/>
      <c r="I55" s="399"/>
      <c r="J55" s="399"/>
      <c r="K55" s="400" t="s">
        <v>2963</v>
      </c>
      <c r="L55" s="400"/>
      <c r="M55" s="41">
        <v>0</v>
      </c>
      <c r="N55" s="35">
        <v>13</v>
      </c>
    </row>
    <row r="56" spans="1:14">
      <c r="A56" s="367"/>
      <c r="B56" s="368"/>
      <c r="C56" s="363"/>
      <c r="D56" s="364"/>
      <c r="E56" s="365"/>
      <c r="F56" s="365"/>
      <c r="G56" s="366"/>
      <c r="H56" s="364"/>
      <c r="I56" s="365"/>
      <c r="J56" s="366"/>
      <c r="K56" s="362"/>
      <c r="L56" s="368"/>
      <c r="M56" s="42"/>
      <c r="N56" s="27"/>
    </row>
    <row r="57" spans="1:14">
      <c r="A57" s="367"/>
      <c r="B57" s="368"/>
      <c r="C57" s="363"/>
      <c r="D57" s="364"/>
      <c r="E57" s="365"/>
      <c r="F57" s="365"/>
      <c r="G57" s="366"/>
      <c r="H57" s="364"/>
      <c r="I57" s="365"/>
      <c r="J57" s="366"/>
      <c r="K57" s="362"/>
      <c r="L57" s="363"/>
      <c r="M57" s="33"/>
      <c r="N57" s="35"/>
    </row>
    <row r="58" spans="1:14">
      <c r="A58" s="31"/>
      <c r="B58" s="32"/>
      <c r="C58" s="32"/>
      <c r="D58" s="399"/>
      <c r="E58" s="399"/>
      <c r="F58" s="399"/>
      <c r="G58" s="399"/>
      <c r="H58" s="399"/>
      <c r="I58" s="399"/>
      <c r="J58" s="399"/>
      <c r="K58" s="400"/>
      <c r="L58" s="400"/>
      <c r="M58" s="34"/>
      <c r="N58" s="35"/>
    </row>
    <row r="59" spans="1:14">
      <c r="A59" s="133"/>
      <c r="B59" s="168"/>
      <c r="C59" s="127"/>
      <c r="D59" s="407"/>
      <c r="E59" s="407"/>
      <c r="F59" s="407"/>
      <c r="G59" s="407"/>
      <c r="H59" s="399"/>
      <c r="I59" s="399"/>
      <c r="J59" s="399"/>
      <c r="K59" s="400"/>
      <c r="L59" s="400"/>
      <c r="M59" s="34"/>
      <c r="N59" s="35"/>
    </row>
    <row r="60" spans="1:14">
      <c r="A60" s="134"/>
      <c r="B60" s="8"/>
      <c r="C60" s="8"/>
      <c r="D60" s="28"/>
      <c r="E60" s="28"/>
      <c r="F60" s="169"/>
      <c r="G60" s="29"/>
      <c r="H60" s="407"/>
      <c r="I60" s="407"/>
      <c r="J60" s="407"/>
      <c r="K60" s="408"/>
      <c r="L60" s="408"/>
      <c r="M60" s="41"/>
      <c r="N60" s="43"/>
    </row>
    <row r="61" spans="1:14">
      <c r="A61" s="128"/>
      <c r="B61" s="168"/>
      <c r="C61" s="129"/>
      <c r="D61" s="129"/>
      <c r="E61" s="129"/>
      <c r="F61" s="168"/>
      <c r="G61" s="132"/>
      <c r="H61" s="129"/>
      <c r="I61" s="129"/>
      <c r="J61" s="129"/>
      <c r="K61" s="133"/>
      <c r="L61" s="129"/>
      <c r="M61" s="131"/>
      <c r="N61" s="130"/>
    </row>
    <row r="62" spans="1:14">
      <c r="A62" s="255" t="s">
        <v>28</v>
      </c>
      <c r="B62" s="376">
        <v>13</v>
      </c>
      <c r="C62" s="377"/>
      <c r="D62" s="374" t="s">
        <v>2876</v>
      </c>
      <c r="E62" s="374"/>
      <c r="F62" s="374"/>
      <c r="G62" s="374"/>
      <c r="H62" s="375"/>
      <c r="I62" s="378" t="s">
        <v>2970</v>
      </c>
      <c r="J62" s="379"/>
      <c r="K62" s="379"/>
      <c r="L62" s="379"/>
      <c r="M62" s="379"/>
      <c r="N62" s="380"/>
    </row>
    <row r="63" spans="1:14" ht="15.75" customHeight="1">
      <c r="A63" s="401" t="s">
        <v>27</v>
      </c>
      <c r="B63" s="402"/>
      <c r="C63" s="402"/>
      <c r="D63" s="402"/>
      <c r="E63" s="402"/>
      <c r="F63" s="403"/>
      <c r="G63" s="202">
        <v>8</v>
      </c>
      <c r="H63" s="238"/>
      <c r="I63" s="172"/>
      <c r="J63" s="172"/>
      <c r="K63" s="172"/>
      <c r="L63" s="172"/>
      <c r="M63" s="172"/>
      <c r="N63" s="173"/>
    </row>
    <row r="64" spans="1:14" ht="16.5" customHeight="1" thickBot="1">
      <c r="A64" s="256" t="s">
        <v>29</v>
      </c>
      <c r="B64" s="200" t="s">
        <v>31</v>
      </c>
      <c r="C64" s="201" t="s">
        <v>15</v>
      </c>
      <c r="D64" s="381" t="s">
        <v>2905</v>
      </c>
      <c r="E64" s="394"/>
      <c r="F64" s="381"/>
      <c r="G64" s="382"/>
      <c r="H64" s="382"/>
      <c r="I64" s="382"/>
      <c r="J64" s="382"/>
      <c r="K64" s="382"/>
      <c r="L64" s="382"/>
      <c r="M64" s="382"/>
      <c r="N64" s="383"/>
    </row>
    <row r="65" spans="1:14" ht="16.5" thickTop="1" thickBot="1">
      <c r="A65" s="257" t="s">
        <v>30</v>
      </c>
      <c r="B65" s="61" t="s">
        <v>31</v>
      </c>
      <c r="C65" s="11" t="s">
        <v>15</v>
      </c>
      <c r="D65" s="384"/>
      <c r="E65" s="395"/>
      <c r="F65" s="384"/>
      <c r="G65" s="385"/>
      <c r="H65" s="385"/>
      <c r="I65" s="385"/>
      <c r="J65" s="385"/>
      <c r="K65" s="385"/>
      <c r="L65" s="385"/>
      <c r="M65" s="385"/>
      <c r="N65" s="386"/>
    </row>
    <row r="66" spans="1:14" s="49" customFormat="1" ht="16.5" thickTop="1" thickBot="1">
      <c r="A66" s="258" t="s">
        <v>2877</v>
      </c>
      <c r="B66" s="61" t="s">
        <v>31</v>
      </c>
      <c r="C66" s="11" t="s">
        <v>15</v>
      </c>
      <c r="D66" s="387"/>
      <c r="E66" s="396"/>
      <c r="F66" s="387"/>
      <c r="G66" s="388"/>
      <c r="H66" s="388"/>
      <c r="I66" s="388"/>
      <c r="J66" s="388"/>
      <c r="K66" s="388"/>
      <c r="L66" s="388"/>
      <c r="M66" s="388"/>
      <c r="N66" s="389"/>
    </row>
    <row r="67" spans="1:14" ht="66" customHeight="1" thickTop="1" thickBot="1">
      <c r="A67" s="321" t="s">
        <v>2882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4"/>
    </row>
    <row r="68" spans="1:14" ht="16.5" thickTop="1" thickBot="1">
      <c r="A68" s="165" t="s">
        <v>5</v>
      </c>
      <c r="B68" s="78">
        <v>42342</v>
      </c>
      <c r="C68" s="203"/>
      <c r="D68" s="165" t="s">
        <v>2857</v>
      </c>
      <c r="E68" s="341" t="s">
        <v>2938</v>
      </c>
      <c r="F68" s="341"/>
      <c r="G68" s="341"/>
      <c r="H68" s="341"/>
      <c r="I68" s="341"/>
      <c r="J68" s="341"/>
      <c r="K68" s="341"/>
      <c r="L68" s="341"/>
      <c r="M68" s="341"/>
      <c r="N68" s="342"/>
    </row>
    <row r="69" spans="1:14" ht="16.5" thickTop="1" thickBot="1">
      <c r="A69" s="167" t="s">
        <v>10</v>
      </c>
      <c r="B69" s="56">
        <v>1</v>
      </c>
      <c r="C69" s="11" t="s">
        <v>15</v>
      </c>
      <c r="D69" s="54"/>
      <c r="E69" s="53"/>
      <c r="F69" s="53"/>
      <c r="G69" s="53"/>
      <c r="H69" s="53"/>
      <c r="I69" s="53"/>
      <c r="J69" s="53"/>
      <c r="K69" s="53"/>
      <c r="L69" s="53"/>
      <c r="M69" s="53"/>
      <c r="N69" s="55"/>
    </row>
    <row r="70" spans="1:14" ht="16.5" thickTop="1" thickBot="1">
      <c r="A70" s="165" t="s">
        <v>2927</v>
      </c>
      <c r="B70" s="10" t="s">
        <v>13</v>
      </c>
      <c r="C70" s="11" t="s">
        <v>15</v>
      </c>
      <c r="D70" s="343" t="s">
        <v>2931</v>
      </c>
      <c r="E70" s="344"/>
      <c r="F70" s="344"/>
      <c r="G70" s="344"/>
      <c r="H70" s="344"/>
      <c r="I70" s="344"/>
      <c r="J70" s="345"/>
      <c r="K70" s="346" t="s">
        <v>3</v>
      </c>
      <c r="L70" s="347"/>
      <c r="M70" s="347"/>
      <c r="N70" s="348"/>
    </row>
    <row r="71" spans="1:14" s="20" customFormat="1" ht="15.75" thickTop="1">
      <c r="A71" s="327" t="s">
        <v>2878</v>
      </c>
      <c r="B71" s="349"/>
      <c r="C71" s="197"/>
      <c r="D71" s="195" t="s">
        <v>2887</v>
      </c>
      <c r="E71" s="351">
        <v>28.107716660000001</v>
      </c>
      <c r="F71" s="352"/>
      <c r="G71" s="352"/>
      <c r="H71" s="352"/>
      <c r="I71" s="353"/>
      <c r="J71" s="354" t="s">
        <v>6</v>
      </c>
      <c r="K71" s="356"/>
      <c r="L71" s="357"/>
      <c r="M71" s="357"/>
      <c r="N71" s="358"/>
    </row>
    <row r="72" spans="1:14" ht="15.75" thickBot="1">
      <c r="A72" s="328"/>
      <c r="B72" s="350"/>
      <c r="C72" s="267"/>
      <c r="D72" s="268" t="s">
        <v>2888</v>
      </c>
      <c r="E72" s="434">
        <v>80.978166659999999</v>
      </c>
      <c r="F72" s="435"/>
      <c r="G72" s="435"/>
      <c r="H72" s="435"/>
      <c r="I72" s="436"/>
      <c r="J72" s="355"/>
      <c r="K72" s="359"/>
      <c r="L72" s="360"/>
      <c r="M72" s="360"/>
      <c r="N72" s="361"/>
    </row>
    <row r="73" spans="1:14" ht="37.5" customHeight="1" thickTop="1" thickBot="1">
      <c r="A73" s="254" t="s">
        <v>2900</v>
      </c>
      <c r="B73" s="371" t="s">
        <v>3020</v>
      </c>
      <c r="C73" s="372"/>
      <c r="D73" s="372"/>
      <c r="E73" s="372"/>
      <c r="F73" s="372"/>
      <c r="G73" s="372"/>
      <c r="H73" s="372"/>
      <c r="I73" s="372"/>
      <c r="J73" s="372"/>
      <c r="K73" s="372"/>
      <c r="L73" s="372"/>
      <c r="M73" s="372"/>
      <c r="N73" s="373"/>
    </row>
    <row r="74" spans="1:14" ht="45.75" thickTop="1">
      <c r="A74" s="162" t="s">
        <v>2874</v>
      </c>
      <c r="B74" s="404" t="s">
        <v>17</v>
      </c>
      <c r="C74" s="405"/>
      <c r="D74" s="75" t="s">
        <v>18</v>
      </c>
      <c r="E74" s="77" t="s">
        <v>2896</v>
      </c>
      <c r="F74" s="392" t="s">
        <v>2875</v>
      </c>
      <c r="G74" s="393"/>
      <c r="H74" s="392" t="s">
        <v>19</v>
      </c>
      <c r="I74" s="398"/>
      <c r="J74" s="398"/>
      <c r="K74" s="398"/>
      <c r="L74" s="398"/>
      <c r="M74" s="398"/>
      <c r="N74" s="406"/>
    </row>
    <row r="75" spans="1:14">
      <c r="A75" s="158" t="s">
        <v>2971</v>
      </c>
      <c r="B75" s="369" t="s">
        <v>2973</v>
      </c>
      <c r="C75" s="370"/>
      <c r="D75" s="159"/>
      <c r="E75" s="159"/>
      <c r="F75" s="369"/>
      <c r="G75" s="370"/>
      <c r="H75" s="399" t="s">
        <v>2977</v>
      </c>
      <c r="I75" s="399"/>
      <c r="J75" s="399"/>
      <c r="K75" s="399"/>
      <c r="L75" s="399"/>
      <c r="M75" s="399"/>
      <c r="N75" s="437"/>
    </row>
    <row r="76" spans="1:14">
      <c r="A76" s="158" t="s">
        <v>2972</v>
      </c>
      <c r="B76" s="369" t="s">
        <v>2974</v>
      </c>
      <c r="C76" s="370"/>
      <c r="D76" s="159" t="s">
        <v>2951</v>
      </c>
      <c r="E76" s="159" t="s">
        <v>2952</v>
      </c>
      <c r="F76" s="369" t="s">
        <v>2955</v>
      </c>
      <c r="G76" s="370"/>
      <c r="H76" s="364" t="s">
        <v>2978</v>
      </c>
      <c r="I76" s="365"/>
      <c r="J76" s="365"/>
      <c r="K76" s="365"/>
      <c r="L76" s="365"/>
      <c r="M76" s="365"/>
      <c r="N76" s="433"/>
    </row>
    <row r="77" spans="1:14">
      <c r="A77" s="158" t="s">
        <v>2941</v>
      </c>
      <c r="B77" s="369" t="s">
        <v>2975</v>
      </c>
      <c r="C77" s="370"/>
      <c r="D77" s="159" t="s">
        <v>2951</v>
      </c>
      <c r="E77" s="159" t="s">
        <v>2952</v>
      </c>
      <c r="F77" s="369" t="s">
        <v>2955</v>
      </c>
      <c r="G77" s="370"/>
      <c r="H77" s="364" t="s">
        <v>2979</v>
      </c>
      <c r="I77" s="365"/>
      <c r="J77" s="365"/>
      <c r="K77" s="365"/>
      <c r="L77" s="365"/>
      <c r="M77" s="365"/>
      <c r="N77" s="433"/>
    </row>
    <row r="78" spans="1:14">
      <c r="A78" s="158" t="s">
        <v>2942</v>
      </c>
      <c r="B78" s="369" t="s">
        <v>2976</v>
      </c>
      <c r="C78" s="370"/>
      <c r="D78" s="159" t="s">
        <v>2951</v>
      </c>
      <c r="E78" s="159" t="s">
        <v>2952</v>
      </c>
      <c r="F78" s="369" t="s">
        <v>2955</v>
      </c>
      <c r="G78" s="370"/>
      <c r="H78" s="364" t="s">
        <v>2980</v>
      </c>
      <c r="I78" s="365"/>
      <c r="J78" s="365"/>
      <c r="K78" s="365"/>
      <c r="L78" s="365"/>
      <c r="M78" s="365"/>
      <c r="N78" s="433"/>
    </row>
    <row r="79" spans="1:14" s="20" customFormat="1">
      <c r="A79" s="158"/>
      <c r="B79" s="369"/>
      <c r="C79" s="370"/>
      <c r="D79" s="228"/>
      <c r="E79" s="228"/>
      <c r="F79" s="369"/>
      <c r="G79" s="370"/>
      <c r="H79" s="338"/>
      <c r="I79" s="339"/>
      <c r="J79" s="339"/>
      <c r="K79" s="339"/>
      <c r="L79" s="339"/>
      <c r="M79" s="339"/>
      <c r="N79" s="340"/>
    </row>
    <row r="80" spans="1:14" s="20" customFormat="1">
      <c r="A80" s="158"/>
      <c r="B80" s="369"/>
      <c r="C80" s="370"/>
      <c r="D80" s="228"/>
      <c r="E80" s="228"/>
      <c r="F80" s="369"/>
      <c r="G80" s="370"/>
      <c r="H80" s="338"/>
      <c r="I80" s="339"/>
      <c r="J80" s="339"/>
      <c r="K80" s="339"/>
      <c r="L80" s="339"/>
      <c r="M80" s="339"/>
      <c r="N80" s="340"/>
    </row>
    <row r="81" spans="1:14" s="20" customFormat="1">
      <c r="A81" s="158"/>
      <c r="B81" s="369"/>
      <c r="C81" s="370"/>
      <c r="D81" s="228"/>
      <c r="E81" s="228"/>
      <c r="F81" s="369"/>
      <c r="G81" s="370"/>
      <c r="H81" s="338"/>
      <c r="I81" s="339"/>
      <c r="J81" s="339"/>
      <c r="K81" s="339"/>
      <c r="L81" s="339"/>
      <c r="M81" s="339"/>
      <c r="N81" s="340"/>
    </row>
    <row r="82" spans="1:14">
      <c r="A82" s="158"/>
      <c r="B82" s="369"/>
      <c r="C82" s="370"/>
      <c r="D82" s="159"/>
      <c r="E82" s="159"/>
      <c r="F82" s="369"/>
      <c r="G82" s="370"/>
      <c r="H82" s="338"/>
      <c r="I82" s="339"/>
      <c r="J82" s="339"/>
      <c r="K82" s="339"/>
      <c r="L82" s="339"/>
      <c r="M82" s="339"/>
      <c r="N82" s="340"/>
    </row>
    <row r="83" spans="1:14" ht="15.75" thickBot="1">
      <c r="A83" s="160"/>
      <c r="B83" s="390"/>
      <c r="C83" s="391"/>
      <c r="D83" s="161"/>
      <c r="E83" s="161"/>
      <c r="F83" s="390"/>
      <c r="G83" s="391"/>
      <c r="H83" s="338"/>
      <c r="I83" s="339"/>
      <c r="J83" s="339"/>
      <c r="K83" s="339"/>
      <c r="L83" s="339"/>
      <c r="M83" s="339"/>
      <c r="N83" s="340"/>
    </row>
    <row r="84" spans="1:14" ht="16.5" thickTop="1" thickBot="1">
      <c r="A84" s="59" t="s">
        <v>20</v>
      </c>
      <c r="B84" s="60" t="s">
        <v>31</v>
      </c>
      <c r="C84" s="11" t="s">
        <v>15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8"/>
    </row>
    <row r="85" spans="1:14" ht="45.75" thickTop="1">
      <c r="A85" s="397" t="s">
        <v>22</v>
      </c>
      <c r="B85" s="398"/>
      <c r="C85" s="393"/>
      <c r="D85" s="392" t="s">
        <v>21</v>
      </c>
      <c r="E85" s="398"/>
      <c r="F85" s="398"/>
      <c r="G85" s="393"/>
      <c r="H85" s="392" t="s">
        <v>23</v>
      </c>
      <c r="I85" s="398"/>
      <c r="J85" s="393"/>
      <c r="K85" s="392" t="s">
        <v>24</v>
      </c>
      <c r="L85" s="393"/>
      <c r="M85" s="38" t="s">
        <v>25</v>
      </c>
      <c r="N85" s="39" t="s">
        <v>26</v>
      </c>
    </row>
    <row r="86" spans="1:14">
      <c r="A86" s="367"/>
      <c r="B86" s="368"/>
      <c r="C86" s="45"/>
      <c r="D86" s="364"/>
      <c r="E86" s="365"/>
      <c r="F86" s="365"/>
      <c r="G86" s="366"/>
      <c r="H86" s="364"/>
      <c r="I86" s="365"/>
      <c r="J86" s="366"/>
      <c r="K86" s="362" t="s">
        <v>2981</v>
      </c>
      <c r="L86" s="363"/>
      <c r="M86" s="34">
        <v>0</v>
      </c>
      <c r="N86" s="35">
        <v>1</v>
      </c>
    </row>
    <row r="87" spans="1:14">
      <c r="A87" s="367"/>
      <c r="B87" s="368"/>
      <c r="C87" s="45"/>
      <c r="D87" s="364"/>
      <c r="E87" s="365"/>
      <c r="F87" s="365"/>
      <c r="G87" s="366"/>
      <c r="H87" s="364"/>
      <c r="I87" s="365"/>
      <c r="J87" s="366"/>
      <c r="K87" s="362" t="s">
        <v>2962</v>
      </c>
      <c r="L87" s="363"/>
      <c r="M87" s="41">
        <v>3</v>
      </c>
      <c r="N87" s="35">
        <v>12</v>
      </c>
    </row>
    <row r="88" spans="1:14">
      <c r="A88" s="367"/>
      <c r="B88" s="368"/>
      <c r="C88" s="363"/>
      <c r="D88" s="364"/>
      <c r="E88" s="365"/>
      <c r="F88" s="365"/>
      <c r="G88" s="366"/>
      <c r="H88" s="364"/>
      <c r="I88" s="365"/>
      <c r="J88" s="366"/>
      <c r="K88" s="362"/>
      <c r="L88" s="363"/>
      <c r="M88" s="42"/>
      <c r="N88" s="27"/>
    </row>
    <row r="89" spans="1:14">
      <c r="A89" s="367"/>
      <c r="B89" s="368"/>
      <c r="C89" s="363"/>
      <c r="D89" s="364"/>
      <c r="E89" s="365"/>
      <c r="F89" s="365"/>
      <c r="G89" s="366"/>
      <c r="H89" s="364"/>
      <c r="I89" s="365"/>
      <c r="J89" s="366"/>
      <c r="K89" s="362"/>
      <c r="L89" s="363"/>
      <c r="M89" s="33"/>
      <c r="N89" s="35"/>
    </row>
    <row r="90" spans="1:14">
      <c r="A90" s="31"/>
      <c r="B90" s="32"/>
      <c r="C90" s="32"/>
      <c r="D90" s="364"/>
      <c r="E90" s="365"/>
      <c r="F90" s="365"/>
      <c r="G90" s="366"/>
      <c r="H90" s="364"/>
      <c r="I90" s="365"/>
      <c r="J90" s="366"/>
      <c r="K90" s="362"/>
      <c r="L90" s="363"/>
      <c r="M90" s="34"/>
      <c r="N90" s="35"/>
    </row>
    <row r="91" spans="1:14">
      <c r="A91" s="128"/>
      <c r="B91" s="168"/>
      <c r="C91" s="132"/>
      <c r="D91" s="364"/>
      <c r="E91" s="365"/>
      <c r="F91" s="365"/>
      <c r="G91" s="366"/>
      <c r="H91" s="364"/>
      <c r="I91" s="365"/>
      <c r="J91" s="366"/>
      <c r="K91" s="362"/>
      <c r="L91" s="363"/>
      <c r="M91" s="34"/>
      <c r="N91" s="35"/>
    </row>
    <row r="92" spans="1:14">
      <c r="A92" s="9"/>
      <c r="B92" s="8"/>
      <c r="C92" s="8"/>
      <c r="D92" s="28"/>
      <c r="E92" s="28"/>
      <c r="F92" s="169"/>
      <c r="G92" s="29"/>
      <c r="H92" s="364"/>
      <c r="I92" s="365"/>
      <c r="J92" s="366"/>
      <c r="K92" s="362"/>
      <c r="L92" s="363"/>
      <c r="M92" s="41"/>
      <c r="N92" s="43"/>
    </row>
    <row r="93" spans="1:14">
      <c r="A93" s="9"/>
      <c r="B93" s="8"/>
      <c r="C93" s="8"/>
      <c r="D93" s="8"/>
      <c r="E93" s="8"/>
      <c r="F93" s="8"/>
      <c r="G93" s="45"/>
      <c r="H93" s="8"/>
      <c r="I93" s="8"/>
      <c r="J93" s="8"/>
      <c r="K93" s="138"/>
      <c r="L93" s="8"/>
      <c r="M93" s="139"/>
      <c r="N93" s="137"/>
    </row>
    <row r="94" spans="1:14">
      <c r="A94" s="255" t="s">
        <v>28</v>
      </c>
      <c r="B94" s="376">
        <v>12</v>
      </c>
      <c r="C94" s="377"/>
      <c r="D94" s="374" t="s">
        <v>2876</v>
      </c>
      <c r="E94" s="374"/>
      <c r="F94" s="374"/>
      <c r="G94" s="374"/>
      <c r="H94" s="375"/>
      <c r="I94" s="378" t="s">
        <v>2970</v>
      </c>
      <c r="J94" s="379"/>
      <c r="K94" s="379"/>
      <c r="L94" s="379"/>
      <c r="M94" s="379"/>
      <c r="N94" s="380"/>
    </row>
    <row r="95" spans="1:14" ht="15.75" customHeight="1">
      <c r="A95" s="401" t="s">
        <v>27</v>
      </c>
      <c r="B95" s="402"/>
      <c r="C95" s="402"/>
      <c r="D95" s="402"/>
      <c r="E95" s="402"/>
      <c r="F95" s="403"/>
      <c r="G95" s="202">
        <v>1</v>
      </c>
      <c r="H95" s="238"/>
      <c r="I95" s="172"/>
      <c r="J95" s="172"/>
      <c r="K95" s="172"/>
      <c r="L95" s="172"/>
      <c r="M95" s="172"/>
      <c r="N95" s="173"/>
    </row>
    <row r="96" spans="1:14" ht="16.5" customHeight="1" thickBot="1">
      <c r="A96" s="256" t="s">
        <v>29</v>
      </c>
      <c r="B96" s="200" t="s">
        <v>31</v>
      </c>
      <c r="C96" s="201" t="s">
        <v>15</v>
      </c>
      <c r="D96" s="381" t="s">
        <v>2905</v>
      </c>
      <c r="E96" s="394"/>
      <c r="F96" s="381"/>
      <c r="G96" s="382"/>
      <c r="H96" s="382"/>
      <c r="I96" s="382"/>
      <c r="J96" s="382"/>
      <c r="K96" s="382"/>
      <c r="L96" s="382"/>
      <c r="M96" s="382"/>
      <c r="N96" s="383"/>
    </row>
    <row r="97" spans="1:14" ht="16.5" thickTop="1" thickBot="1">
      <c r="A97" s="257" t="s">
        <v>30</v>
      </c>
      <c r="B97" s="61" t="s">
        <v>31</v>
      </c>
      <c r="C97" s="11" t="s">
        <v>15</v>
      </c>
      <c r="D97" s="384"/>
      <c r="E97" s="395"/>
      <c r="F97" s="384"/>
      <c r="G97" s="385"/>
      <c r="H97" s="385"/>
      <c r="I97" s="385"/>
      <c r="J97" s="385"/>
      <c r="K97" s="385"/>
      <c r="L97" s="385"/>
      <c r="M97" s="385"/>
      <c r="N97" s="386"/>
    </row>
    <row r="98" spans="1:14" ht="16.5" thickTop="1" thickBot="1">
      <c r="A98" s="258" t="s">
        <v>2877</v>
      </c>
      <c r="B98" s="61" t="s">
        <v>31</v>
      </c>
      <c r="C98" s="11" t="s">
        <v>15</v>
      </c>
      <c r="D98" s="387"/>
      <c r="E98" s="396"/>
      <c r="F98" s="387"/>
      <c r="G98" s="388"/>
      <c r="H98" s="388"/>
      <c r="I98" s="388"/>
      <c r="J98" s="388"/>
      <c r="K98" s="388"/>
      <c r="L98" s="388"/>
      <c r="M98" s="388"/>
      <c r="N98" s="389"/>
    </row>
    <row r="99" spans="1:14" ht="16.5" thickTop="1" thickBot="1">
      <c r="A99" s="1" t="s">
        <v>2934</v>
      </c>
    </row>
    <row r="100" spans="1:14" ht="56.25" customHeight="1" thickTop="1" thickBot="1">
      <c r="A100" s="321" t="s">
        <v>2925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4"/>
    </row>
    <row r="101" spans="1:14" ht="16.5" thickTop="1" thickBot="1">
      <c r="A101" s="165" t="s">
        <v>5</v>
      </c>
      <c r="B101" s="78"/>
      <c r="C101" s="203"/>
      <c r="D101" s="165" t="s">
        <v>2857</v>
      </c>
      <c r="E101" s="341"/>
      <c r="F101" s="341"/>
      <c r="G101" s="341"/>
      <c r="H101" s="341"/>
      <c r="I101" s="341"/>
      <c r="J101" s="341"/>
      <c r="K101" s="341"/>
      <c r="L101" s="341"/>
      <c r="M101" s="341"/>
      <c r="N101" s="342"/>
    </row>
    <row r="102" spans="1:14" ht="16.5" thickTop="1" thickBot="1">
      <c r="A102" s="167" t="s">
        <v>10</v>
      </c>
      <c r="B102" s="56"/>
      <c r="C102" s="11" t="s">
        <v>15</v>
      </c>
      <c r="D102" s="54"/>
      <c r="E102" s="53"/>
      <c r="F102" s="53"/>
      <c r="G102" s="53"/>
      <c r="H102" s="53"/>
      <c r="I102" s="53"/>
      <c r="J102" s="53"/>
      <c r="K102" s="53"/>
      <c r="L102" s="53"/>
      <c r="M102" s="53"/>
      <c r="N102" s="55"/>
    </row>
    <row r="103" spans="1:14" ht="16.5" thickTop="1" thickBot="1">
      <c r="A103" s="165" t="s">
        <v>2927</v>
      </c>
      <c r="B103" s="10"/>
      <c r="C103" s="11" t="s">
        <v>15</v>
      </c>
      <c r="D103" s="343" t="s">
        <v>2931</v>
      </c>
      <c r="E103" s="344"/>
      <c r="F103" s="344"/>
      <c r="G103" s="344"/>
      <c r="H103" s="344"/>
      <c r="I103" s="344"/>
      <c r="J103" s="345"/>
      <c r="K103" s="346" t="s">
        <v>3</v>
      </c>
      <c r="L103" s="347"/>
      <c r="M103" s="347"/>
      <c r="N103" s="348"/>
    </row>
    <row r="104" spans="1:14" ht="15.75" thickTop="1">
      <c r="A104" s="327" t="s">
        <v>2878</v>
      </c>
      <c r="B104" s="349"/>
      <c r="C104" s="197"/>
      <c r="D104" s="195" t="s">
        <v>2887</v>
      </c>
      <c r="E104" s="351"/>
      <c r="F104" s="352"/>
      <c r="G104" s="352"/>
      <c r="H104" s="352"/>
      <c r="I104" s="353"/>
      <c r="J104" s="354" t="s">
        <v>6</v>
      </c>
      <c r="K104" s="356"/>
      <c r="L104" s="357"/>
      <c r="M104" s="357"/>
      <c r="N104" s="358"/>
    </row>
    <row r="105" spans="1:14" ht="15.75" thickBot="1">
      <c r="A105" s="328"/>
      <c r="B105" s="350"/>
      <c r="C105" s="267"/>
      <c r="D105" s="268" t="s">
        <v>2888</v>
      </c>
      <c r="E105" s="434"/>
      <c r="F105" s="435"/>
      <c r="G105" s="435"/>
      <c r="H105" s="435"/>
      <c r="I105" s="436"/>
      <c r="J105" s="355"/>
      <c r="K105" s="359"/>
      <c r="L105" s="360"/>
      <c r="M105" s="360"/>
      <c r="N105" s="361"/>
    </row>
    <row r="106" spans="1:14" ht="37.5" customHeight="1" thickTop="1" thickBot="1">
      <c r="A106" s="254" t="s">
        <v>2900</v>
      </c>
      <c r="B106" s="371"/>
      <c r="C106" s="372"/>
      <c r="D106" s="372"/>
      <c r="E106" s="372"/>
      <c r="F106" s="372"/>
      <c r="G106" s="372"/>
      <c r="H106" s="372"/>
      <c r="I106" s="372"/>
      <c r="J106" s="372"/>
      <c r="K106" s="372"/>
      <c r="L106" s="372"/>
      <c r="M106" s="372"/>
      <c r="N106" s="373"/>
    </row>
    <row r="107" spans="1:14" ht="45.75" thickTop="1">
      <c r="A107" s="162" t="s">
        <v>2874</v>
      </c>
      <c r="B107" s="404" t="s">
        <v>17</v>
      </c>
      <c r="C107" s="405"/>
      <c r="D107" s="237" t="s">
        <v>18</v>
      </c>
      <c r="E107" s="77" t="s">
        <v>2896</v>
      </c>
      <c r="F107" s="392" t="s">
        <v>2875</v>
      </c>
      <c r="G107" s="393"/>
      <c r="H107" s="392" t="s">
        <v>19</v>
      </c>
      <c r="I107" s="398"/>
      <c r="J107" s="398"/>
      <c r="K107" s="398"/>
      <c r="L107" s="398"/>
      <c r="M107" s="398"/>
      <c r="N107" s="406"/>
    </row>
    <row r="108" spans="1:14">
      <c r="A108" s="158"/>
      <c r="B108" s="369"/>
      <c r="C108" s="370"/>
      <c r="D108" s="228"/>
      <c r="E108" s="228"/>
      <c r="F108" s="369"/>
      <c r="G108" s="370"/>
      <c r="H108" s="338"/>
      <c r="I108" s="339"/>
      <c r="J108" s="339"/>
      <c r="K108" s="339"/>
      <c r="L108" s="339"/>
      <c r="M108" s="339"/>
      <c r="N108" s="340"/>
    </row>
    <row r="109" spans="1:14">
      <c r="A109" s="158"/>
      <c r="B109" s="369"/>
      <c r="C109" s="370"/>
      <c r="D109" s="228"/>
      <c r="E109" s="228"/>
      <c r="F109" s="369"/>
      <c r="G109" s="370"/>
      <c r="H109" s="338"/>
      <c r="I109" s="339"/>
      <c r="J109" s="339"/>
      <c r="K109" s="339"/>
      <c r="L109" s="339"/>
      <c r="M109" s="339"/>
      <c r="N109" s="340"/>
    </row>
    <row r="110" spans="1:14">
      <c r="A110" s="158"/>
      <c r="B110" s="369"/>
      <c r="C110" s="370"/>
      <c r="D110" s="228"/>
      <c r="E110" s="228"/>
      <c r="F110" s="369"/>
      <c r="G110" s="370"/>
      <c r="H110" s="338"/>
      <c r="I110" s="339"/>
      <c r="J110" s="339"/>
      <c r="K110" s="339"/>
      <c r="L110" s="339"/>
      <c r="M110" s="339"/>
      <c r="N110" s="340"/>
    </row>
    <row r="111" spans="1:14">
      <c r="A111" s="158"/>
      <c r="B111" s="369"/>
      <c r="C111" s="370"/>
      <c r="D111" s="228"/>
      <c r="E111" s="228"/>
      <c r="F111" s="369"/>
      <c r="G111" s="370"/>
      <c r="H111" s="338"/>
      <c r="I111" s="339"/>
      <c r="J111" s="339"/>
      <c r="K111" s="339"/>
      <c r="L111" s="339"/>
      <c r="M111" s="339"/>
      <c r="N111" s="340"/>
    </row>
    <row r="112" spans="1:14" s="20" customFormat="1">
      <c r="A112" s="158"/>
      <c r="B112" s="369"/>
      <c r="C112" s="370"/>
      <c r="D112" s="228"/>
      <c r="E112" s="228"/>
      <c r="F112" s="369"/>
      <c r="G112" s="370"/>
      <c r="H112" s="338"/>
      <c r="I112" s="339"/>
      <c r="J112" s="339"/>
      <c r="K112" s="339"/>
      <c r="L112" s="339"/>
      <c r="M112" s="339"/>
      <c r="N112" s="340"/>
    </row>
    <row r="113" spans="1:15" s="20" customFormat="1">
      <c r="A113" s="158"/>
      <c r="B113" s="369"/>
      <c r="C113" s="370"/>
      <c r="D113" s="228"/>
      <c r="E113" s="228"/>
      <c r="F113" s="369"/>
      <c r="G113" s="370"/>
      <c r="H113" s="338"/>
      <c r="I113" s="339"/>
      <c r="J113" s="339"/>
      <c r="K113" s="339"/>
      <c r="L113" s="339"/>
      <c r="M113" s="339"/>
      <c r="N113" s="340"/>
    </row>
    <row r="114" spans="1:15" s="20" customFormat="1">
      <c r="A114" s="158"/>
      <c r="B114" s="369"/>
      <c r="C114" s="370"/>
      <c r="D114" s="228"/>
      <c r="E114" s="228"/>
      <c r="F114" s="369"/>
      <c r="G114" s="370"/>
      <c r="H114" s="338"/>
      <c r="I114" s="339"/>
      <c r="J114" s="339"/>
      <c r="K114" s="339"/>
      <c r="L114" s="339"/>
      <c r="M114" s="339"/>
      <c r="N114" s="340"/>
    </row>
    <row r="115" spans="1:15">
      <c r="A115" s="158"/>
      <c r="B115" s="369"/>
      <c r="C115" s="370"/>
      <c r="D115" s="228"/>
      <c r="E115" s="228"/>
      <c r="F115" s="369"/>
      <c r="G115" s="370"/>
      <c r="H115" s="338"/>
      <c r="I115" s="339"/>
      <c r="J115" s="339"/>
      <c r="K115" s="339"/>
      <c r="L115" s="339"/>
      <c r="M115" s="339"/>
      <c r="N115" s="340"/>
      <c r="O115" s="1"/>
    </row>
    <row r="116" spans="1:15" ht="15.75" thickBot="1">
      <c r="A116" s="160"/>
      <c r="B116" s="390"/>
      <c r="C116" s="391"/>
      <c r="D116" s="161"/>
      <c r="E116" s="161"/>
      <c r="F116" s="369"/>
      <c r="G116" s="370"/>
      <c r="H116" s="338"/>
      <c r="I116" s="339"/>
      <c r="J116" s="339"/>
      <c r="K116" s="339"/>
      <c r="L116" s="339"/>
      <c r="M116" s="339"/>
      <c r="N116" s="340"/>
    </row>
    <row r="117" spans="1:15" ht="16.5" thickTop="1" thickBot="1">
      <c r="A117" s="59" t="s">
        <v>20</v>
      </c>
      <c r="B117" s="60" t="s">
        <v>31</v>
      </c>
      <c r="C117" s="11" t="s">
        <v>15</v>
      </c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8"/>
    </row>
    <row r="118" spans="1:15" ht="45.75" thickTop="1">
      <c r="A118" s="397" t="s">
        <v>22</v>
      </c>
      <c r="B118" s="398"/>
      <c r="C118" s="393"/>
      <c r="D118" s="392" t="s">
        <v>21</v>
      </c>
      <c r="E118" s="398"/>
      <c r="F118" s="398"/>
      <c r="G118" s="393"/>
      <c r="H118" s="392" t="s">
        <v>23</v>
      </c>
      <c r="I118" s="398"/>
      <c r="J118" s="393"/>
      <c r="K118" s="392" t="s">
        <v>24</v>
      </c>
      <c r="L118" s="393"/>
      <c r="M118" s="38" t="s">
        <v>25</v>
      </c>
      <c r="N118" s="39" t="s">
        <v>26</v>
      </c>
    </row>
    <row r="119" spans="1:15">
      <c r="A119" s="367"/>
      <c r="B119" s="368"/>
      <c r="C119" s="45"/>
      <c r="D119" s="364"/>
      <c r="E119" s="365"/>
      <c r="F119" s="365"/>
      <c r="G119" s="366"/>
      <c r="H119" s="364"/>
      <c r="I119" s="365"/>
      <c r="J119" s="366"/>
      <c r="K119" s="362"/>
      <c r="L119" s="363"/>
      <c r="M119" s="229"/>
      <c r="N119" s="183"/>
    </row>
    <row r="120" spans="1:15">
      <c r="A120" s="367"/>
      <c r="B120" s="368"/>
      <c r="C120" s="45"/>
      <c r="D120" s="364"/>
      <c r="E120" s="365"/>
      <c r="F120" s="365"/>
      <c r="G120" s="366"/>
      <c r="H120" s="364"/>
      <c r="I120" s="365"/>
      <c r="J120" s="366"/>
      <c r="K120" s="362"/>
      <c r="L120" s="363"/>
      <c r="M120" s="230"/>
      <c r="N120" s="183"/>
    </row>
    <row r="121" spans="1:15">
      <c r="A121" s="367"/>
      <c r="B121" s="368"/>
      <c r="C121" s="363"/>
      <c r="D121" s="364"/>
      <c r="E121" s="365"/>
      <c r="F121" s="365"/>
      <c r="G121" s="366"/>
      <c r="H121" s="364"/>
      <c r="I121" s="365"/>
      <c r="J121" s="366"/>
      <c r="K121" s="362"/>
      <c r="L121" s="363"/>
      <c r="M121" s="42"/>
      <c r="N121" s="239"/>
    </row>
    <row r="122" spans="1:15">
      <c r="A122" s="367"/>
      <c r="B122" s="368"/>
      <c r="C122" s="363"/>
      <c r="D122" s="364"/>
      <c r="E122" s="365"/>
      <c r="F122" s="365"/>
      <c r="G122" s="366"/>
      <c r="H122" s="364"/>
      <c r="I122" s="365"/>
      <c r="J122" s="366"/>
      <c r="K122" s="362"/>
      <c r="L122" s="363"/>
      <c r="M122" s="233"/>
      <c r="N122" s="183"/>
    </row>
    <row r="123" spans="1:15">
      <c r="A123" s="31"/>
      <c r="B123" s="32"/>
      <c r="C123" s="32"/>
      <c r="D123" s="364"/>
      <c r="E123" s="365"/>
      <c r="F123" s="365"/>
      <c r="G123" s="366"/>
      <c r="H123" s="364"/>
      <c r="I123" s="365"/>
      <c r="J123" s="366"/>
      <c r="K123" s="362"/>
      <c r="L123" s="363"/>
      <c r="M123" s="229"/>
      <c r="N123" s="183"/>
    </row>
    <row r="124" spans="1:15">
      <c r="A124" s="235"/>
      <c r="B124" s="236"/>
      <c r="C124" s="234"/>
      <c r="D124" s="364"/>
      <c r="E124" s="365"/>
      <c r="F124" s="365"/>
      <c r="G124" s="366"/>
      <c r="H124" s="364"/>
      <c r="I124" s="365"/>
      <c r="J124" s="366"/>
      <c r="K124" s="362"/>
      <c r="L124" s="363"/>
      <c r="M124" s="229"/>
      <c r="N124" s="183"/>
    </row>
    <row r="125" spans="1:15">
      <c r="A125" s="9"/>
      <c r="B125" s="8"/>
      <c r="C125" s="8"/>
      <c r="D125" s="231"/>
      <c r="E125" s="231"/>
      <c r="F125" s="231"/>
      <c r="G125" s="232"/>
      <c r="H125" s="364"/>
      <c r="I125" s="365"/>
      <c r="J125" s="366"/>
      <c r="K125" s="362"/>
      <c r="L125" s="363"/>
      <c r="M125" s="230"/>
      <c r="N125" s="43"/>
    </row>
    <row r="126" spans="1:15">
      <c r="A126" s="9"/>
      <c r="B126" s="8"/>
      <c r="C126" s="8"/>
      <c r="D126" s="8"/>
      <c r="E126" s="8"/>
      <c r="F126" s="8"/>
      <c r="G126" s="45"/>
      <c r="H126" s="8"/>
      <c r="I126" s="8"/>
      <c r="J126" s="8"/>
      <c r="K126" s="138"/>
      <c r="L126" s="8"/>
      <c r="M126" s="139"/>
      <c r="N126" s="137"/>
    </row>
    <row r="127" spans="1:15">
      <c r="A127" s="255" t="s">
        <v>28</v>
      </c>
      <c r="B127" s="376"/>
      <c r="C127" s="377"/>
      <c r="D127" s="374" t="s">
        <v>2876</v>
      </c>
      <c r="E127" s="374"/>
      <c r="F127" s="374"/>
      <c r="G127" s="374"/>
      <c r="H127" s="375"/>
      <c r="I127" s="378"/>
      <c r="J127" s="379"/>
      <c r="K127" s="379"/>
      <c r="L127" s="379"/>
      <c r="M127" s="379"/>
      <c r="N127" s="380"/>
    </row>
    <row r="128" spans="1:15" ht="15.75" customHeight="1">
      <c r="A128" s="401" t="s">
        <v>27</v>
      </c>
      <c r="B128" s="402"/>
      <c r="C128" s="402"/>
      <c r="D128" s="402"/>
      <c r="E128" s="402"/>
      <c r="F128" s="403"/>
      <c r="G128" s="202"/>
      <c r="H128" s="238"/>
      <c r="I128" s="172"/>
      <c r="J128" s="172"/>
      <c r="K128" s="172"/>
      <c r="L128" s="172"/>
      <c r="M128" s="172"/>
      <c r="N128" s="173"/>
    </row>
    <row r="129" spans="1:14" ht="16.5" customHeight="1" thickBot="1">
      <c r="A129" s="256" t="s">
        <v>29</v>
      </c>
      <c r="B129" s="200"/>
      <c r="C129" s="201" t="s">
        <v>15</v>
      </c>
      <c r="D129" s="381" t="s">
        <v>2905</v>
      </c>
      <c r="E129" s="394"/>
      <c r="F129" s="381"/>
      <c r="G129" s="382"/>
      <c r="H129" s="382"/>
      <c r="I129" s="382"/>
      <c r="J129" s="382"/>
      <c r="K129" s="382"/>
      <c r="L129" s="382"/>
      <c r="M129" s="382"/>
      <c r="N129" s="383"/>
    </row>
    <row r="130" spans="1:14" ht="16.5" thickTop="1" thickBot="1">
      <c r="A130" s="257" t="s">
        <v>30</v>
      </c>
      <c r="B130" s="61"/>
      <c r="C130" s="11" t="s">
        <v>15</v>
      </c>
      <c r="D130" s="384"/>
      <c r="E130" s="395"/>
      <c r="F130" s="384"/>
      <c r="G130" s="385"/>
      <c r="H130" s="385"/>
      <c r="I130" s="385"/>
      <c r="J130" s="385"/>
      <c r="K130" s="385"/>
      <c r="L130" s="385"/>
      <c r="M130" s="385"/>
      <c r="N130" s="386"/>
    </row>
    <row r="131" spans="1:14" ht="16.5" thickTop="1" thickBot="1">
      <c r="A131" s="258" t="s">
        <v>2877</v>
      </c>
      <c r="B131" s="61"/>
      <c r="C131" s="11" t="s">
        <v>15</v>
      </c>
      <c r="D131" s="387"/>
      <c r="E131" s="396"/>
      <c r="F131" s="387"/>
      <c r="G131" s="388"/>
      <c r="H131" s="388"/>
      <c r="I131" s="388"/>
      <c r="J131" s="388"/>
      <c r="K131" s="388"/>
      <c r="L131" s="388"/>
      <c r="M131" s="388"/>
      <c r="N131" s="389"/>
    </row>
    <row r="132" spans="1:14" ht="15.75" thickTop="1">
      <c r="A132" s="1" t="s">
        <v>2934</v>
      </c>
    </row>
    <row r="143" spans="1:14" ht="45.75" customHeight="1"/>
    <row r="152" ht="48" customHeight="1"/>
    <row r="153" ht="108" customHeight="1"/>
  </sheetData>
  <mergeCells count="298">
    <mergeCell ref="E105:I105"/>
    <mergeCell ref="A87:B87"/>
    <mergeCell ref="B75:C75"/>
    <mergeCell ref="H83:N83"/>
    <mergeCell ref="B83:C83"/>
    <mergeCell ref="H82:N82"/>
    <mergeCell ref="H77:N77"/>
    <mergeCell ref="B77:C77"/>
    <mergeCell ref="H76:N76"/>
    <mergeCell ref="B76:C76"/>
    <mergeCell ref="H75:N75"/>
    <mergeCell ref="D87:G87"/>
    <mergeCell ref="H87:J87"/>
    <mergeCell ref="K87:L87"/>
    <mergeCell ref="A85:C85"/>
    <mergeCell ref="D85:G85"/>
    <mergeCell ref="H85:J85"/>
    <mergeCell ref="K85:L85"/>
    <mergeCell ref="D96:E98"/>
    <mergeCell ref="H92:J92"/>
    <mergeCell ref="D88:G88"/>
    <mergeCell ref="H88:J88"/>
    <mergeCell ref="K88:L88"/>
    <mergeCell ref="A89:C89"/>
    <mergeCell ref="D89:G89"/>
    <mergeCell ref="H89:J89"/>
    <mergeCell ref="E7:I7"/>
    <mergeCell ref="E40:I40"/>
    <mergeCell ref="E72:I72"/>
    <mergeCell ref="A67:N67"/>
    <mergeCell ref="B51:C51"/>
    <mergeCell ref="H51:N51"/>
    <mergeCell ref="B45:C45"/>
    <mergeCell ref="H45:N45"/>
    <mergeCell ref="B48:C48"/>
    <mergeCell ref="H48:N48"/>
    <mergeCell ref="B50:C50"/>
    <mergeCell ref="H50:N50"/>
    <mergeCell ref="B42:C42"/>
    <mergeCell ref="H42:N42"/>
    <mergeCell ref="B43:C43"/>
    <mergeCell ref="F42:G42"/>
    <mergeCell ref="F43:G43"/>
    <mergeCell ref="F44:G44"/>
    <mergeCell ref="F45:G45"/>
    <mergeCell ref="H43:N43"/>
    <mergeCell ref="H44:N44"/>
    <mergeCell ref="F48:G48"/>
    <mergeCell ref="F50:G50"/>
    <mergeCell ref="F49:G49"/>
    <mergeCell ref="F47:G47"/>
    <mergeCell ref="F46:G46"/>
    <mergeCell ref="F51:G51"/>
    <mergeCell ref="B11:C11"/>
    <mergeCell ref="D26:G26"/>
    <mergeCell ref="H26:J26"/>
    <mergeCell ref="H27:J27"/>
    <mergeCell ref="K26:L26"/>
    <mergeCell ref="A35:N35"/>
    <mergeCell ref="D27:G27"/>
    <mergeCell ref="K28:L28"/>
    <mergeCell ref="H29:J29"/>
    <mergeCell ref="D32:E34"/>
    <mergeCell ref="D30:H30"/>
    <mergeCell ref="B30:C30"/>
    <mergeCell ref="F32:N34"/>
    <mergeCell ref="B19:C19"/>
    <mergeCell ref="B16:C16"/>
    <mergeCell ref="B17:C17"/>
    <mergeCell ref="B18:C18"/>
    <mergeCell ref="A23:B23"/>
    <mergeCell ref="F17:G17"/>
    <mergeCell ref="F18:G18"/>
    <mergeCell ref="K27:L27"/>
    <mergeCell ref="H28:J28"/>
    <mergeCell ref="A31:F31"/>
    <mergeCell ref="B46:C46"/>
    <mergeCell ref="B47:C47"/>
    <mergeCell ref="B49:C49"/>
    <mergeCell ref="B44:C44"/>
    <mergeCell ref="A2:N2"/>
    <mergeCell ref="C1:D1"/>
    <mergeCell ref="E1:N1"/>
    <mergeCell ref="D5:J5"/>
    <mergeCell ref="A9:G9"/>
    <mergeCell ref="A21:C21"/>
    <mergeCell ref="H12:N12"/>
    <mergeCell ref="H13:N13"/>
    <mergeCell ref="H14:N14"/>
    <mergeCell ref="H15:N15"/>
    <mergeCell ref="K21:L21"/>
    <mergeCell ref="B14:C14"/>
    <mergeCell ref="B15:C15"/>
    <mergeCell ref="D21:G21"/>
    <mergeCell ref="H21:J21"/>
    <mergeCell ref="H10:N10"/>
    <mergeCell ref="H11:N11"/>
    <mergeCell ref="H9:N9"/>
    <mergeCell ref="E3:N3"/>
    <mergeCell ref="F10:G10"/>
    <mergeCell ref="D55:G55"/>
    <mergeCell ref="H55:J55"/>
    <mergeCell ref="K55:L55"/>
    <mergeCell ref="D59:G59"/>
    <mergeCell ref="H59:J59"/>
    <mergeCell ref="K59:L59"/>
    <mergeCell ref="H60:J60"/>
    <mergeCell ref="K60:L60"/>
    <mergeCell ref="D57:G57"/>
    <mergeCell ref="H57:J57"/>
    <mergeCell ref="K57:L57"/>
    <mergeCell ref="D56:G56"/>
    <mergeCell ref="H56:J56"/>
    <mergeCell ref="K56:L56"/>
    <mergeCell ref="D58:G58"/>
    <mergeCell ref="H58:J58"/>
    <mergeCell ref="K58:L58"/>
    <mergeCell ref="F113:G113"/>
    <mergeCell ref="F114:G114"/>
    <mergeCell ref="F115:G115"/>
    <mergeCell ref="F116:G116"/>
    <mergeCell ref="B107:C107"/>
    <mergeCell ref="F107:G107"/>
    <mergeCell ref="H107:N107"/>
    <mergeCell ref="B108:C108"/>
    <mergeCell ref="H108:N108"/>
    <mergeCell ref="B109:C109"/>
    <mergeCell ref="H109:N109"/>
    <mergeCell ref="B110:C110"/>
    <mergeCell ref="H110:N110"/>
    <mergeCell ref="B116:C116"/>
    <mergeCell ref="H116:N116"/>
    <mergeCell ref="B112:C112"/>
    <mergeCell ref="B113:C113"/>
    <mergeCell ref="B114:C114"/>
    <mergeCell ref="H113:N113"/>
    <mergeCell ref="H114:N114"/>
    <mergeCell ref="A128:F128"/>
    <mergeCell ref="D129:E131"/>
    <mergeCell ref="F129:N131"/>
    <mergeCell ref="A122:C122"/>
    <mergeCell ref="D122:G122"/>
    <mergeCell ref="H122:J122"/>
    <mergeCell ref="K122:L122"/>
    <mergeCell ref="D123:G123"/>
    <mergeCell ref="H123:J123"/>
    <mergeCell ref="K123:L123"/>
    <mergeCell ref="D124:G124"/>
    <mergeCell ref="H124:J124"/>
    <mergeCell ref="K124:L124"/>
    <mergeCell ref="B127:C127"/>
    <mergeCell ref="D127:H127"/>
    <mergeCell ref="I127:N127"/>
    <mergeCell ref="H125:J125"/>
    <mergeCell ref="K125:L125"/>
    <mergeCell ref="A6:A7"/>
    <mergeCell ref="B6:B7"/>
    <mergeCell ref="J6:J7"/>
    <mergeCell ref="K6:N7"/>
    <mergeCell ref="B8:N8"/>
    <mergeCell ref="A39:A40"/>
    <mergeCell ref="B39:B40"/>
    <mergeCell ref="E39:I39"/>
    <mergeCell ref="I30:N30"/>
    <mergeCell ref="D25:G25"/>
    <mergeCell ref="D22:G22"/>
    <mergeCell ref="H22:J22"/>
    <mergeCell ref="K22:L22"/>
    <mergeCell ref="D23:G23"/>
    <mergeCell ref="H23:J23"/>
    <mergeCell ref="K23:L23"/>
    <mergeCell ref="A24:C24"/>
    <mergeCell ref="A25:C25"/>
    <mergeCell ref="D24:G24"/>
    <mergeCell ref="B12:C12"/>
    <mergeCell ref="B13:C13"/>
    <mergeCell ref="F19:G19"/>
    <mergeCell ref="E6:I6"/>
    <mergeCell ref="B10:C10"/>
    <mergeCell ref="A22:B22"/>
    <mergeCell ref="B79:C79"/>
    <mergeCell ref="B80:C80"/>
    <mergeCell ref="A54:B54"/>
    <mergeCell ref="A55:B55"/>
    <mergeCell ref="A56:C56"/>
    <mergeCell ref="A57:C57"/>
    <mergeCell ref="B62:C62"/>
    <mergeCell ref="A71:A72"/>
    <mergeCell ref="B71:B72"/>
    <mergeCell ref="B73:N73"/>
    <mergeCell ref="F74:G74"/>
    <mergeCell ref="J71:J72"/>
    <mergeCell ref="K71:N72"/>
    <mergeCell ref="D64:E66"/>
    <mergeCell ref="I62:N62"/>
    <mergeCell ref="F64:N66"/>
    <mergeCell ref="F79:G79"/>
    <mergeCell ref="F80:G80"/>
    <mergeCell ref="F75:G75"/>
    <mergeCell ref="E68:N68"/>
    <mergeCell ref="D54:G54"/>
    <mergeCell ref="H54:J54"/>
    <mergeCell ref="K54:L54"/>
    <mergeCell ref="F76:G76"/>
    <mergeCell ref="F77:G77"/>
    <mergeCell ref="F78:G78"/>
    <mergeCell ref="D62:H62"/>
    <mergeCell ref="E71:I71"/>
    <mergeCell ref="B94:C94"/>
    <mergeCell ref="D94:H94"/>
    <mergeCell ref="I94:N94"/>
    <mergeCell ref="F96:N98"/>
    <mergeCell ref="F82:G82"/>
    <mergeCell ref="F83:G83"/>
    <mergeCell ref="B81:C81"/>
    <mergeCell ref="F81:G81"/>
    <mergeCell ref="K70:N70"/>
    <mergeCell ref="D70:J70"/>
    <mergeCell ref="A95:F95"/>
    <mergeCell ref="K89:L89"/>
    <mergeCell ref="B78:C78"/>
    <mergeCell ref="H78:N78"/>
    <mergeCell ref="B82:C82"/>
    <mergeCell ref="A86:B86"/>
    <mergeCell ref="B74:C74"/>
    <mergeCell ref="H74:N74"/>
    <mergeCell ref="A63:F63"/>
    <mergeCell ref="A121:C121"/>
    <mergeCell ref="D121:G121"/>
    <mergeCell ref="H121:J121"/>
    <mergeCell ref="K121:L121"/>
    <mergeCell ref="B111:C111"/>
    <mergeCell ref="H111:N111"/>
    <mergeCell ref="B115:C115"/>
    <mergeCell ref="H115:N115"/>
    <mergeCell ref="B106:N106"/>
    <mergeCell ref="A119:B119"/>
    <mergeCell ref="D119:G119"/>
    <mergeCell ref="H119:J119"/>
    <mergeCell ref="K119:L119"/>
    <mergeCell ref="A120:B120"/>
    <mergeCell ref="D120:G120"/>
    <mergeCell ref="H120:J120"/>
    <mergeCell ref="F108:G108"/>
    <mergeCell ref="F109:G109"/>
    <mergeCell ref="F110:G110"/>
    <mergeCell ref="K120:L120"/>
    <mergeCell ref="A118:C118"/>
    <mergeCell ref="D118:G118"/>
    <mergeCell ref="H118:J118"/>
    <mergeCell ref="K118:L118"/>
    <mergeCell ref="A100:N100"/>
    <mergeCell ref="E101:N101"/>
    <mergeCell ref="D103:J103"/>
    <mergeCell ref="K103:N103"/>
    <mergeCell ref="H81:N81"/>
    <mergeCell ref="A104:A105"/>
    <mergeCell ref="B104:B105"/>
    <mergeCell ref="E104:I104"/>
    <mergeCell ref="H112:N112"/>
    <mergeCell ref="J104:J105"/>
    <mergeCell ref="K104:N105"/>
    <mergeCell ref="K86:L86"/>
    <mergeCell ref="H90:J90"/>
    <mergeCell ref="K90:L90"/>
    <mergeCell ref="F111:G111"/>
    <mergeCell ref="F112:G112"/>
    <mergeCell ref="D86:G86"/>
    <mergeCell ref="H86:J86"/>
    <mergeCell ref="K92:L92"/>
    <mergeCell ref="D90:G90"/>
    <mergeCell ref="D91:G91"/>
    <mergeCell ref="H91:J91"/>
    <mergeCell ref="K91:L91"/>
    <mergeCell ref="A88:C88"/>
    <mergeCell ref="H16:N16"/>
    <mergeCell ref="H17:N17"/>
    <mergeCell ref="H18:N18"/>
    <mergeCell ref="H19:N19"/>
    <mergeCell ref="H46:N46"/>
    <mergeCell ref="H47:N47"/>
    <mergeCell ref="H49:N49"/>
    <mergeCell ref="H79:N79"/>
    <mergeCell ref="H80:N80"/>
    <mergeCell ref="H24:J24"/>
    <mergeCell ref="K24:L24"/>
    <mergeCell ref="K25:L25"/>
    <mergeCell ref="H25:J25"/>
    <mergeCell ref="J39:J40"/>
    <mergeCell ref="D38:J38"/>
    <mergeCell ref="K38:N38"/>
    <mergeCell ref="E36:N36"/>
    <mergeCell ref="K39:N40"/>
    <mergeCell ref="B41:N41"/>
    <mergeCell ref="A53:C53"/>
    <mergeCell ref="D53:G53"/>
    <mergeCell ref="H53:J53"/>
    <mergeCell ref="K53:L5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Check Box 7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9</xdr:col>
                    <xdr:colOff>123825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9</xdr:col>
                    <xdr:colOff>171450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9</xdr:col>
                    <xdr:colOff>152400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9</xdr:col>
                    <xdr:colOff>152400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9</xdr:col>
                    <xdr:colOff>152400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9</xdr:col>
                    <xdr:colOff>152400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0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1" name="Check Box 40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2" name="Check Box 41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Check Box 42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4" name="Check Box 43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5" name="Check Box 44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6" name="Check Box 45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9</xdr:col>
                    <xdr:colOff>123825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7" name="Check Box 46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9</xdr:col>
                    <xdr:colOff>171450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8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9</xdr:col>
                    <xdr:colOff>152400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9" name="Check Box 48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9</xdr:col>
                    <xdr:colOff>152400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0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9</xdr:col>
                    <xdr:colOff>152400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1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9</xdr:col>
                    <xdr:colOff>152400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32" name="Check Box 51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9</xdr:col>
                    <xdr:colOff>123825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3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4" name="Check Box 6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35" name="Check Box 63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36" name="Check Box 64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7" name="Check Box 65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38" name="Check Box 66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39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9</xdr:col>
                    <xdr:colOff>123825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0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9</xdr:col>
                    <xdr:colOff>171450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1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9</xdr:col>
                    <xdr:colOff>152400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" name="Check Box 70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9</xdr:col>
                    <xdr:colOff>152400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3" name="Check Box 71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9</xdr:col>
                    <xdr:colOff>152400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4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9</xdr:col>
                    <xdr:colOff>152400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9</xdr:col>
                    <xdr:colOff>123825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46" name="Check Box 15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47" name="Check Box 15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48" name="Check Box 15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49" name="Check Box 15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50" name="Check Box 15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51" name="Check Box 15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52" name="Check Box 15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53" name="Check Box 161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54" name="Check Box 162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55" name="Check Box 16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56" name="Check Box 164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57" name="Check Box 178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58" name="Check Box 179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59" name="Check Box 180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60" name="Check Box 181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61" name="Check Box 182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2" name="Check Box 183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63" name="Check Box 184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64" name="Check Box 185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65" name="Check Box 186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66" name="Check Box 187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67" name="Check Box 188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68" name="Check Box 202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69" name="Check Box 203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70" name="Check Box 204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71" name="Check Box 205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72" name="Check Box 206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73" name="Check Box 207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74" name="Check Box 208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75" name="Check Box 285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9</xdr:col>
                    <xdr:colOff>123825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76" name="Check Box 286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9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77" name="Check Box 287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78" name="Check Box 288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542925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79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80" name="Check Box 290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81" name="Check Box 291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82" name="Check Box 292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83" name="Check Box 293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84" name="Check Box 294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85" name="Check Box 295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9</xdr:col>
                    <xdr:colOff>123825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86" name="Check Box 296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9</xdr:col>
                    <xdr:colOff>171450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87" name="Check Box 297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9</xdr:col>
                    <xdr:colOff>152400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88" name="Check Box 298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9</xdr:col>
                    <xdr:colOff>152400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89" name="Check Box 299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9</xdr:col>
                    <xdr:colOff>152400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90" name="Check Box 300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9</xdr:col>
                    <xdr:colOff>152400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91" name="Check Box 302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92" name="Check Box 303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93" name="Check Box 304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94" name="Check Box 305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95" name="Check Box 306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96" name="Check Box 307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97" name="Check Box 308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98" name="Check Box 309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99" name="Check Box 310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00" name="Check Box 311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01" name="Check Box 312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02" name="Check Box 314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114300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03" name="Check Box 315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9</xdr:col>
                    <xdr:colOff>47625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6E4C34-849E-42A4-ACC8-2BE1EE56A9C1}">
          <x14:formula1>
            <xm:f>List!$E$1:$E$7</xm:f>
          </x14:formula1>
          <xm:sqref>B5 B38 B70 B103</xm:sqref>
        </x14:dataValidation>
        <x14:dataValidation type="list" allowBlank="1" showInputMessage="1" showErrorMessage="1" xr:uid="{F6B3BBA5-8863-4822-B241-477BB3747DC4}">
          <x14:formula1>
            <xm:f>List!$C$1:$C$3</xm:f>
          </x14:formula1>
          <xm:sqref>B4 B37 B69 B102</xm:sqref>
        </x14:dataValidation>
        <x14:dataValidation type="list" allowBlank="1" showInputMessage="1" showErrorMessage="1" xr:uid="{74FFD2E5-6915-433F-824F-365E4C509617}">
          <x14:formula1>
            <xm:f>List!$A$1:$A$2</xm:f>
          </x14:formula1>
          <xm:sqref>B20 B32:B34 B52 B84 B96:B98 B64:B66 B117 B129:B131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8033-0ED5-45E9-BD7B-1BA113ED85B7}">
  <sheetPr codeName="Sheet4"/>
  <dimension ref="A1:S153"/>
  <sheetViews>
    <sheetView topLeftCell="A103" workbookViewId="0">
      <selection activeCell="N87" sqref="N87"/>
    </sheetView>
  </sheetViews>
  <sheetFormatPr defaultColWidth="9.140625"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6.8554687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1.42578125" style="20" customWidth="1"/>
    <col min="15" max="16384" width="9.140625" style="20"/>
  </cols>
  <sheetData>
    <row r="1" spans="1:14" ht="30" customHeight="1" thickTop="1" thickBot="1">
      <c r="A1" s="191" t="s">
        <v>2886</v>
      </c>
      <c r="B1" s="246">
        <f>Hydrological!B1</f>
        <v>6</v>
      </c>
      <c r="C1" s="318" t="s">
        <v>2879</v>
      </c>
      <c r="D1" s="319"/>
      <c r="E1" s="307" t="str">
        <f>Hydrological!G1</f>
        <v>Bull Creek North</v>
      </c>
      <c r="F1" s="307"/>
      <c r="G1" s="307"/>
      <c r="H1" s="307"/>
      <c r="I1" s="307"/>
      <c r="J1" s="307"/>
      <c r="K1" s="307"/>
      <c r="L1" s="307"/>
      <c r="M1" s="307"/>
      <c r="N1" s="308"/>
    </row>
    <row r="2" spans="1:14" ht="64.5" customHeight="1" thickTop="1" thickBot="1">
      <c r="A2" s="409" t="s">
        <v>2880</v>
      </c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</row>
    <row r="3" spans="1:14" ht="16.5" thickTop="1" thickBot="1">
      <c r="A3" s="190" t="s">
        <v>5</v>
      </c>
      <c r="B3" s="157">
        <v>42342</v>
      </c>
      <c r="C3" s="204"/>
      <c r="D3" s="165" t="s">
        <v>2857</v>
      </c>
      <c r="E3" s="423" t="s">
        <v>2982</v>
      </c>
      <c r="F3" s="341"/>
      <c r="G3" s="341"/>
      <c r="H3" s="341"/>
      <c r="I3" s="341"/>
      <c r="J3" s="341"/>
      <c r="K3" s="341"/>
      <c r="L3" s="341"/>
      <c r="M3" s="341"/>
      <c r="N3" s="342"/>
    </row>
    <row r="4" spans="1:14" ht="16.5" thickTop="1" thickBot="1">
      <c r="A4" s="167" t="s">
        <v>10</v>
      </c>
      <c r="B4" s="56">
        <v>2</v>
      </c>
      <c r="C4" s="11" t="s">
        <v>15</v>
      </c>
      <c r="D4" s="54"/>
      <c r="E4" s="53"/>
      <c r="F4" s="53"/>
      <c r="G4" s="53"/>
      <c r="H4" s="53"/>
      <c r="I4" s="53"/>
      <c r="J4" s="53"/>
      <c r="K4" s="53"/>
      <c r="L4" s="53"/>
      <c r="M4" s="53"/>
      <c r="N4" s="55"/>
    </row>
    <row r="5" spans="1:14" ht="16.5" thickTop="1" thickBot="1">
      <c r="A5" s="196" t="s">
        <v>2926</v>
      </c>
      <c r="B5" s="123" t="s">
        <v>11</v>
      </c>
      <c r="C5" s="124" t="s">
        <v>15</v>
      </c>
      <c r="D5" s="343" t="s">
        <v>2931</v>
      </c>
      <c r="E5" s="344"/>
      <c r="F5" s="344"/>
      <c r="G5" s="344"/>
      <c r="H5" s="344"/>
      <c r="I5" s="344"/>
      <c r="J5" s="345"/>
      <c r="K5" s="227"/>
      <c r="L5" s="192" t="s">
        <v>3</v>
      </c>
      <c r="M5" s="192"/>
      <c r="N5" s="193"/>
    </row>
    <row r="6" spans="1:14" s="2" customFormat="1" ht="14.25" customHeight="1" thickTop="1">
      <c r="A6" s="327" t="s">
        <v>2878</v>
      </c>
      <c r="B6" s="349"/>
      <c r="C6" s="197"/>
      <c r="D6" s="195" t="s">
        <v>2887</v>
      </c>
      <c r="E6" s="351">
        <v>28.107600000000001</v>
      </c>
      <c r="F6" s="352"/>
      <c r="G6" s="352"/>
      <c r="H6" s="352"/>
      <c r="I6" s="353"/>
      <c r="J6" s="354" t="s">
        <v>6</v>
      </c>
      <c r="K6" s="356">
        <v>58.54</v>
      </c>
      <c r="L6" s="357"/>
      <c r="M6" s="357"/>
      <c r="N6" s="358"/>
    </row>
    <row r="7" spans="1:14" s="2" customFormat="1" ht="15.75" thickBot="1">
      <c r="A7" s="328"/>
      <c r="B7" s="350"/>
      <c r="C7" s="267"/>
      <c r="D7" s="268" t="s">
        <v>2888</v>
      </c>
      <c r="E7" s="434">
        <v>80.97776666</v>
      </c>
      <c r="F7" s="435"/>
      <c r="G7" s="435"/>
      <c r="H7" s="435"/>
      <c r="I7" s="436"/>
      <c r="J7" s="355"/>
      <c r="K7" s="359"/>
      <c r="L7" s="360"/>
      <c r="M7" s="360"/>
      <c r="N7" s="361"/>
    </row>
    <row r="8" spans="1:14" s="2" customFormat="1" ht="37.5" customHeight="1" thickTop="1" thickBot="1">
      <c r="A8" s="254" t="s">
        <v>2900</v>
      </c>
      <c r="B8" s="371" t="s">
        <v>3019</v>
      </c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3"/>
    </row>
    <row r="9" spans="1:14" s="2" customFormat="1" ht="16.5" thickTop="1" thickBot="1">
      <c r="A9" s="411" t="s">
        <v>16</v>
      </c>
      <c r="B9" s="412"/>
      <c r="C9" s="412"/>
      <c r="D9" s="412"/>
      <c r="E9" s="412"/>
      <c r="F9" s="412"/>
      <c r="G9" s="413"/>
      <c r="H9" s="420" t="s">
        <v>2961</v>
      </c>
      <c r="I9" s="421"/>
      <c r="J9" s="421"/>
      <c r="K9" s="421"/>
      <c r="L9" s="421"/>
      <c r="M9" s="421"/>
      <c r="N9" s="422"/>
    </row>
    <row r="10" spans="1:14" ht="45.75" customHeight="1" thickTop="1">
      <c r="A10" s="162" t="s">
        <v>2874</v>
      </c>
      <c r="B10" s="424" t="s">
        <v>17</v>
      </c>
      <c r="C10" s="424"/>
      <c r="D10" s="237" t="s">
        <v>18</v>
      </c>
      <c r="E10" s="77" t="s">
        <v>2896</v>
      </c>
      <c r="F10" s="392" t="s">
        <v>2875</v>
      </c>
      <c r="G10" s="393"/>
      <c r="H10" s="416" t="s">
        <v>19</v>
      </c>
      <c r="I10" s="416"/>
      <c r="J10" s="416"/>
      <c r="K10" s="416"/>
      <c r="L10" s="416"/>
      <c r="M10" s="416"/>
      <c r="N10" s="417"/>
    </row>
    <row r="11" spans="1:14">
      <c r="A11" s="158" t="s">
        <v>2939</v>
      </c>
      <c r="B11" s="369" t="s">
        <v>2974</v>
      </c>
      <c r="C11" s="370"/>
      <c r="D11" s="228" t="s">
        <v>2951</v>
      </c>
      <c r="E11" s="228" t="s">
        <v>2952</v>
      </c>
      <c r="F11" s="269" t="s">
        <v>2955</v>
      </c>
      <c r="G11" s="270"/>
      <c r="H11" s="418" t="s">
        <v>2990</v>
      </c>
      <c r="I11" s="418"/>
      <c r="J11" s="418"/>
      <c r="K11" s="418"/>
      <c r="L11" s="418"/>
      <c r="M11" s="418"/>
      <c r="N11" s="419"/>
    </row>
    <row r="12" spans="1:14">
      <c r="A12" s="158" t="s">
        <v>2940</v>
      </c>
      <c r="B12" s="369" t="s">
        <v>2983</v>
      </c>
      <c r="C12" s="370"/>
      <c r="D12" s="228" t="s">
        <v>2951</v>
      </c>
      <c r="E12" s="228" t="s">
        <v>2952</v>
      </c>
      <c r="F12" s="269" t="s">
        <v>2955</v>
      </c>
      <c r="G12" s="270"/>
      <c r="H12" s="414" t="s">
        <v>2991</v>
      </c>
      <c r="I12" s="285"/>
      <c r="J12" s="285"/>
      <c r="K12" s="285"/>
      <c r="L12" s="285"/>
      <c r="M12" s="285"/>
      <c r="N12" s="286"/>
    </row>
    <row r="13" spans="1:14">
      <c r="A13" s="158" t="s">
        <v>2941</v>
      </c>
      <c r="B13" s="369" t="s">
        <v>2984</v>
      </c>
      <c r="C13" s="370"/>
      <c r="D13" s="228" t="s">
        <v>2951</v>
      </c>
      <c r="E13" s="228" t="s">
        <v>2953</v>
      </c>
      <c r="F13" s="269" t="s">
        <v>2955</v>
      </c>
      <c r="G13" s="270"/>
      <c r="H13" s="414" t="s">
        <v>2992</v>
      </c>
      <c r="I13" s="285"/>
      <c r="J13" s="285"/>
      <c r="K13" s="285"/>
      <c r="L13" s="285"/>
      <c r="M13" s="285"/>
      <c r="N13" s="286"/>
    </row>
    <row r="14" spans="1:14">
      <c r="A14" s="158" t="s">
        <v>2942</v>
      </c>
      <c r="B14" s="369" t="s">
        <v>2985</v>
      </c>
      <c r="C14" s="370"/>
      <c r="D14" s="228" t="s">
        <v>2951</v>
      </c>
      <c r="E14" s="228" t="s">
        <v>2953</v>
      </c>
      <c r="F14" s="269" t="s">
        <v>2955</v>
      </c>
      <c r="G14" s="270"/>
      <c r="H14" s="414" t="s">
        <v>2993</v>
      </c>
      <c r="I14" s="285"/>
      <c r="J14" s="285"/>
      <c r="K14" s="285"/>
      <c r="L14" s="285"/>
      <c r="M14" s="285"/>
      <c r="N14" s="286"/>
    </row>
    <row r="15" spans="1:14">
      <c r="A15" s="158" t="s">
        <v>2943</v>
      </c>
      <c r="B15" s="369" t="s">
        <v>2986</v>
      </c>
      <c r="C15" s="370"/>
      <c r="D15" s="228" t="s">
        <v>2951</v>
      </c>
      <c r="E15" s="228" t="s">
        <v>2988</v>
      </c>
      <c r="F15" s="269" t="s">
        <v>2955</v>
      </c>
      <c r="G15" s="270"/>
      <c r="H15" s="414" t="s">
        <v>2994</v>
      </c>
      <c r="I15" s="285"/>
      <c r="J15" s="285"/>
      <c r="K15" s="285"/>
      <c r="L15" s="285"/>
      <c r="M15" s="285"/>
      <c r="N15" s="286"/>
    </row>
    <row r="16" spans="1:14">
      <c r="A16" s="160" t="s">
        <v>2944</v>
      </c>
      <c r="B16" s="369" t="s">
        <v>2987</v>
      </c>
      <c r="C16" s="370"/>
      <c r="D16" s="228" t="s">
        <v>2951</v>
      </c>
      <c r="E16" s="161" t="s">
        <v>2989</v>
      </c>
      <c r="F16" s="269" t="s">
        <v>2955</v>
      </c>
      <c r="G16" s="270"/>
      <c r="H16" s="334"/>
      <c r="I16" s="334"/>
      <c r="J16" s="334"/>
      <c r="K16" s="334"/>
      <c r="L16" s="334"/>
      <c r="M16" s="334"/>
      <c r="N16" s="335"/>
    </row>
    <row r="17" spans="1:19">
      <c r="A17" s="160"/>
      <c r="B17" s="369"/>
      <c r="C17" s="370"/>
      <c r="D17" s="161"/>
      <c r="E17" s="161"/>
      <c r="F17" s="369"/>
      <c r="G17" s="370"/>
      <c r="H17" s="334"/>
      <c r="I17" s="334"/>
      <c r="J17" s="334"/>
      <c r="K17" s="334"/>
      <c r="L17" s="334"/>
      <c r="M17" s="334"/>
      <c r="N17" s="335"/>
    </row>
    <row r="18" spans="1:19">
      <c r="A18" s="160"/>
      <c r="B18" s="369"/>
      <c r="C18" s="370"/>
      <c r="D18" s="161"/>
      <c r="E18" s="161"/>
      <c r="F18" s="369"/>
      <c r="G18" s="370"/>
      <c r="H18" s="334"/>
      <c r="I18" s="334"/>
      <c r="J18" s="334"/>
      <c r="K18" s="334"/>
      <c r="L18" s="334"/>
      <c r="M18" s="334"/>
      <c r="N18" s="335"/>
    </row>
    <row r="19" spans="1:19" ht="15.75" thickBot="1">
      <c r="A19" s="160"/>
      <c r="B19" s="390"/>
      <c r="C19" s="391"/>
      <c r="D19" s="161"/>
      <c r="E19" s="161"/>
      <c r="F19" s="369"/>
      <c r="G19" s="370"/>
      <c r="H19" s="334"/>
      <c r="I19" s="334"/>
      <c r="J19" s="334"/>
      <c r="K19" s="334"/>
      <c r="L19" s="334"/>
      <c r="M19" s="334"/>
      <c r="N19" s="335"/>
    </row>
    <row r="20" spans="1:19" ht="16.5" thickTop="1" thickBot="1">
      <c r="A20" s="59" t="s">
        <v>20</v>
      </c>
      <c r="B20" s="60" t="s">
        <v>31</v>
      </c>
      <c r="C20" s="11" t="s">
        <v>15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/>
      <c r="Q20" s="2"/>
    </row>
    <row r="21" spans="1:19" ht="45.75" thickTop="1">
      <c r="A21" s="397" t="s">
        <v>22</v>
      </c>
      <c r="B21" s="398"/>
      <c r="C21" s="393"/>
      <c r="D21" s="415" t="s">
        <v>21</v>
      </c>
      <c r="E21" s="415"/>
      <c r="F21" s="415"/>
      <c r="G21" s="415"/>
      <c r="H21" s="415" t="s">
        <v>23</v>
      </c>
      <c r="I21" s="415"/>
      <c r="J21" s="415"/>
      <c r="K21" s="415" t="s">
        <v>24</v>
      </c>
      <c r="L21" s="415"/>
      <c r="M21" s="38" t="s">
        <v>25</v>
      </c>
      <c r="N21" s="39" t="s">
        <v>26</v>
      </c>
    </row>
    <row r="22" spans="1:19">
      <c r="A22" s="367"/>
      <c r="B22" s="368"/>
      <c r="C22" s="45"/>
      <c r="D22" s="399"/>
      <c r="E22" s="399"/>
      <c r="F22" s="364"/>
      <c r="G22" s="364"/>
      <c r="H22" s="399"/>
      <c r="I22" s="399"/>
      <c r="J22" s="399"/>
      <c r="K22" s="400" t="s">
        <v>2962</v>
      </c>
      <c r="L22" s="400"/>
      <c r="M22" s="229">
        <v>5</v>
      </c>
      <c r="N22" s="183">
        <v>14</v>
      </c>
    </row>
    <row r="23" spans="1:19">
      <c r="A23" s="367"/>
      <c r="B23" s="368"/>
      <c r="C23" s="45"/>
      <c r="D23" s="399"/>
      <c r="E23" s="399"/>
      <c r="F23" s="399"/>
      <c r="G23" s="399"/>
      <c r="H23" s="399"/>
      <c r="I23" s="399"/>
      <c r="J23" s="399"/>
      <c r="K23" s="400"/>
      <c r="L23" s="400"/>
      <c r="M23" s="230"/>
      <c r="N23" s="183"/>
    </row>
    <row r="24" spans="1:19">
      <c r="A24" s="367"/>
      <c r="B24" s="368"/>
      <c r="C24" s="363"/>
      <c r="D24" s="364"/>
      <c r="E24" s="365"/>
      <c r="F24" s="365"/>
      <c r="G24" s="366"/>
      <c r="H24" s="364"/>
      <c r="I24" s="365"/>
      <c r="J24" s="366"/>
      <c r="K24" s="362"/>
      <c r="L24" s="368"/>
      <c r="M24" s="42"/>
      <c r="N24" s="239"/>
    </row>
    <row r="25" spans="1:19">
      <c r="A25" s="367"/>
      <c r="B25" s="368"/>
      <c r="C25" s="363"/>
      <c r="D25" s="364"/>
      <c r="E25" s="365"/>
      <c r="F25" s="365"/>
      <c r="G25" s="366"/>
      <c r="H25" s="364"/>
      <c r="I25" s="365"/>
      <c r="J25" s="366"/>
      <c r="K25" s="362"/>
      <c r="L25" s="363"/>
      <c r="M25" s="233"/>
      <c r="N25" s="183"/>
    </row>
    <row r="26" spans="1:19">
      <c r="A26" s="135"/>
      <c r="B26" s="136"/>
      <c r="C26" s="32"/>
      <c r="D26" s="399"/>
      <c r="E26" s="399"/>
      <c r="F26" s="399"/>
      <c r="G26" s="399"/>
      <c r="H26" s="399"/>
      <c r="I26" s="399"/>
      <c r="J26" s="399"/>
      <c r="K26" s="400"/>
      <c r="L26" s="400"/>
      <c r="M26" s="229"/>
      <c r="N26" s="183"/>
    </row>
    <row r="27" spans="1:19">
      <c r="A27" s="9"/>
      <c r="B27" s="8"/>
      <c r="C27" s="234"/>
      <c r="D27" s="407"/>
      <c r="E27" s="407"/>
      <c r="F27" s="407"/>
      <c r="G27" s="407"/>
      <c r="H27" s="399"/>
      <c r="I27" s="399"/>
      <c r="J27" s="399"/>
      <c r="K27" s="400"/>
      <c r="L27" s="400"/>
      <c r="M27" s="229"/>
      <c r="N27" s="183"/>
      <c r="S27" s="12"/>
    </row>
    <row r="28" spans="1:19">
      <c r="A28" s="9"/>
      <c r="B28" s="8"/>
      <c r="C28" s="8"/>
      <c r="D28" s="231"/>
      <c r="E28" s="231"/>
      <c r="F28" s="231"/>
      <c r="G28" s="232"/>
      <c r="H28" s="362"/>
      <c r="I28" s="368"/>
      <c r="J28" s="363"/>
      <c r="K28" s="362"/>
      <c r="L28" s="363"/>
      <c r="M28" s="230"/>
      <c r="N28" s="43"/>
    </row>
    <row r="29" spans="1:19">
      <c r="A29" s="9"/>
      <c r="B29" s="8"/>
      <c r="C29" s="8"/>
      <c r="D29" s="231"/>
      <c r="E29" s="231"/>
      <c r="F29" s="231"/>
      <c r="G29" s="232"/>
      <c r="H29" s="362"/>
      <c r="I29" s="368"/>
      <c r="J29" s="363"/>
      <c r="K29" s="86"/>
      <c r="L29" s="102"/>
      <c r="M29" s="230"/>
      <c r="N29" s="43"/>
    </row>
    <row r="30" spans="1:19">
      <c r="A30" s="255" t="s">
        <v>28</v>
      </c>
      <c r="B30" s="376">
        <v>35</v>
      </c>
      <c r="C30" s="377"/>
      <c r="D30" s="374" t="s">
        <v>2876</v>
      </c>
      <c r="E30" s="374"/>
      <c r="F30" s="374"/>
      <c r="G30" s="374"/>
      <c r="H30" s="375"/>
      <c r="I30" s="378">
        <v>5</v>
      </c>
      <c r="J30" s="379"/>
      <c r="K30" s="379"/>
      <c r="L30" s="379"/>
      <c r="M30" s="379"/>
      <c r="N30" s="380"/>
    </row>
    <row r="31" spans="1:19" ht="15.75" customHeight="1">
      <c r="A31" s="401" t="s">
        <v>27</v>
      </c>
      <c r="B31" s="402"/>
      <c r="C31" s="402"/>
      <c r="D31" s="402"/>
      <c r="E31" s="402"/>
      <c r="F31" s="403"/>
      <c r="G31" s="202">
        <v>25</v>
      </c>
      <c r="H31" s="238"/>
      <c r="I31" s="172"/>
      <c r="J31" s="172"/>
      <c r="K31" s="172"/>
      <c r="L31" s="172"/>
      <c r="M31" s="172"/>
      <c r="N31" s="173"/>
    </row>
    <row r="32" spans="1:19" ht="15.75" customHeight="1" thickBot="1">
      <c r="A32" s="256" t="s">
        <v>29</v>
      </c>
      <c r="B32" s="200" t="s">
        <v>31</v>
      </c>
      <c r="C32" s="201" t="s">
        <v>15</v>
      </c>
      <c r="D32" s="381" t="s">
        <v>2905</v>
      </c>
      <c r="E32" s="394"/>
      <c r="F32" s="381"/>
      <c r="G32" s="382"/>
      <c r="H32" s="382"/>
      <c r="I32" s="382"/>
      <c r="J32" s="382"/>
      <c r="K32" s="382"/>
      <c r="L32" s="382"/>
      <c r="M32" s="382"/>
      <c r="N32" s="383"/>
    </row>
    <row r="33" spans="1:15" ht="16.5" thickTop="1" thickBot="1">
      <c r="A33" s="257" t="s">
        <v>30</v>
      </c>
      <c r="B33" s="61" t="s">
        <v>31</v>
      </c>
      <c r="C33" s="11" t="s">
        <v>15</v>
      </c>
      <c r="D33" s="384"/>
      <c r="E33" s="395"/>
      <c r="F33" s="384"/>
      <c r="G33" s="385"/>
      <c r="H33" s="385"/>
      <c r="I33" s="385"/>
      <c r="J33" s="385"/>
      <c r="K33" s="385"/>
      <c r="L33" s="385"/>
      <c r="M33" s="385"/>
      <c r="N33" s="386"/>
    </row>
    <row r="34" spans="1:15" ht="16.5" thickTop="1" thickBot="1">
      <c r="A34" s="258" t="s">
        <v>2877</v>
      </c>
      <c r="B34" s="61" t="s">
        <v>31</v>
      </c>
      <c r="C34" s="11" t="s">
        <v>15</v>
      </c>
      <c r="D34" s="387"/>
      <c r="E34" s="396"/>
      <c r="F34" s="387"/>
      <c r="G34" s="388"/>
      <c r="H34" s="388"/>
      <c r="I34" s="388"/>
      <c r="J34" s="388"/>
      <c r="K34" s="388"/>
      <c r="L34" s="388"/>
      <c r="M34" s="388"/>
      <c r="N34" s="389"/>
    </row>
    <row r="35" spans="1:15" ht="66" customHeight="1" thickTop="1" thickBot="1">
      <c r="A35" s="321" t="s">
        <v>2881</v>
      </c>
      <c r="B35" s="322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4"/>
    </row>
    <row r="36" spans="1:15" ht="16.5" thickTop="1" thickBot="1">
      <c r="A36" s="165" t="s">
        <v>5</v>
      </c>
      <c r="B36" s="78">
        <v>42342</v>
      </c>
      <c r="C36" s="204"/>
      <c r="D36" s="165" t="s">
        <v>2857</v>
      </c>
      <c r="E36" s="423" t="s">
        <v>2982</v>
      </c>
      <c r="F36" s="341"/>
      <c r="G36" s="341"/>
      <c r="H36" s="341"/>
      <c r="I36" s="341"/>
      <c r="J36" s="341"/>
      <c r="K36" s="341"/>
      <c r="L36" s="341"/>
      <c r="M36" s="341"/>
      <c r="N36" s="342"/>
    </row>
    <row r="37" spans="1:15" ht="16.5" thickTop="1" thickBot="1">
      <c r="A37" s="167" t="s">
        <v>10</v>
      </c>
      <c r="B37" s="56">
        <v>2</v>
      </c>
      <c r="C37" s="11" t="s">
        <v>15</v>
      </c>
      <c r="D37" s="54"/>
      <c r="E37" s="53"/>
      <c r="F37" s="53"/>
      <c r="G37" s="53"/>
      <c r="H37" s="53"/>
      <c r="I37" s="53"/>
      <c r="J37" s="53"/>
      <c r="K37" s="53"/>
      <c r="L37" s="53"/>
      <c r="M37" s="53"/>
      <c r="N37" s="55"/>
    </row>
    <row r="38" spans="1:15" ht="16.5" thickTop="1" thickBot="1">
      <c r="A38" s="165" t="s">
        <v>2927</v>
      </c>
      <c r="B38" s="10" t="s">
        <v>12</v>
      </c>
      <c r="C38" s="11" t="s">
        <v>15</v>
      </c>
      <c r="D38" s="343" t="s">
        <v>2931</v>
      </c>
      <c r="E38" s="344"/>
      <c r="F38" s="344"/>
      <c r="G38" s="344"/>
      <c r="H38" s="344"/>
      <c r="I38" s="344"/>
      <c r="J38" s="345"/>
      <c r="K38" s="346" t="s">
        <v>3</v>
      </c>
      <c r="L38" s="347"/>
      <c r="M38" s="347"/>
      <c r="N38" s="348"/>
    </row>
    <row r="39" spans="1:15" ht="15.75" thickTop="1">
      <c r="A39" s="327" t="s">
        <v>2878</v>
      </c>
      <c r="B39" s="349"/>
      <c r="C39" s="197"/>
      <c r="D39" s="195" t="s">
        <v>2887</v>
      </c>
      <c r="E39" s="351">
        <v>28.107583330000001</v>
      </c>
      <c r="F39" s="352"/>
      <c r="G39" s="352"/>
      <c r="H39" s="352"/>
      <c r="I39" s="353"/>
      <c r="J39" s="354" t="s">
        <v>6</v>
      </c>
      <c r="K39" s="356">
        <v>57.95</v>
      </c>
      <c r="L39" s="357"/>
      <c r="M39" s="357"/>
      <c r="N39" s="358"/>
    </row>
    <row r="40" spans="1:15" ht="15.75" thickBot="1">
      <c r="A40" s="328"/>
      <c r="B40" s="350"/>
      <c r="C40" s="267"/>
      <c r="D40" s="268" t="s">
        <v>2888</v>
      </c>
      <c r="E40" s="434">
        <v>80.977833329999996</v>
      </c>
      <c r="F40" s="435"/>
      <c r="G40" s="435"/>
      <c r="H40" s="435"/>
      <c r="I40" s="436"/>
      <c r="J40" s="355"/>
      <c r="K40" s="359"/>
      <c r="L40" s="360"/>
      <c r="M40" s="360"/>
      <c r="N40" s="361"/>
    </row>
    <row r="41" spans="1:15" ht="37.5" customHeight="1" thickTop="1" thickBot="1">
      <c r="A41" s="254" t="s">
        <v>2900</v>
      </c>
      <c r="B41" s="371" t="s">
        <v>3019</v>
      </c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3"/>
    </row>
    <row r="42" spans="1:15" ht="45.75" thickTop="1">
      <c r="A42" s="162" t="s">
        <v>2874</v>
      </c>
      <c r="B42" s="424" t="s">
        <v>17</v>
      </c>
      <c r="C42" s="424"/>
      <c r="D42" s="237" t="s">
        <v>18</v>
      </c>
      <c r="E42" s="77" t="s">
        <v>2896</v>
      </c>
      <c r="F42" s="392" t="s">
        <v>2875</v>
      </c>
      <c r="G42" s="393"/>
      <c r="H42" s="415" t="s">
        <v>19</v>
      </c>
      <c r="I42" s="415"/>
      <c r="J42" s="415"/>
      <c r="K42" s="415"/>
      <c r="L42" s="415"/>
      <c r="M42" s="415"/>
      <c r="N42" s="427"/>
      <c r="O42" s="2"/>
    </row>
    <row r="43" spans="1:15" ht="15" customHeight="1">
      <c r="A43" s="158" t="s">
        <v>2939</v>
      </c>
      <c r="B43" s="369" t="s">
        <v>2964</v>
      </c>
      <c r="C43" s="370"/>
      <c r="D43" s="228" t="s">
        <v>2951</v>
      </c>
      <c r="E43" s="228" t="s">
        <v>2952</v>
      </c>
      <c r="F43" s="269" t="s">
        <v>2955</v>
      </c>
      <c r="G43" s="270"/>
      <c r="H43" s="428" t="s">
        <v>2995</v>
      </c>
      <c r="I43" s="428"/>
      <c r="J43" s="428"/>
      <c r="K43" s="428"/>
      <c r="L43" s="428"/>
      <c r="M43" s="428"/>
      <c r="N43" s="429"/>
    </row>
    <row r="44" spans="1:15" ht="15" customHeight="1">
      <c r="A44" s="158" t="s">
        <v>2940</v>
      </c>
      <c r="B44" s="369" t="s">
        <v>2947</v>
      </c>
      <c r="C44" s="370"/>
      <c r="D44" s="228" t="s">
        <v>2951</v>
      </c>
      <c r="E44" s="228" t="s">
        <v>2952</v>
      </c>
      <c r="F44" s="269" t="s">
        <v>2955</v>
      </c>
      <c r="G44" s="270"/>
      <c r="H44" s="430" t="s">
        <v>2996</v>
      </c>
      <c r="I44" s="431"/>
      <c r="J44" s="431"/>
      <c r="K44" s="431"/>
      <c r="L44" s="431"/>
      <c r="M44" s="431"/>
      <c r="N44" s="432"/>
    </row>
    <row r="45" spans="1:15" ht="15" customHeight="1">
      <c r="A45" s="158" t="s">
        <v>2941</v>
      </c>
      <c r="B45" s="369" t="s">
        <v>2948</v>
      </c>
      <c r="C45" s="370"/>
      <c r="D45" s="228" t="s">
        <v>2951</v>
      </c>
      <c r="E45" s="228" t="s">
        <v>2966</v>
      </c>
      <c r="F45" s="269" t="s">
        <v>2955</v>
      </c>
      <c r="G45" s="270"/>
      <c r="H45" s="430" t="s">
        <v>2997</v>
      </c>
      <c r="I45" s="431"/>
      <c r="J45" s="431"/>
      <c r="K45" s="431"/>
      <c r="L45" s="431"/>
      <c r="M45" s="431"/>
      <c r="N45" s="432"/>
    </row>
    <row r="46" spans="1:15" ht="15" customHeight="1">
      <c r="A46" s="158" t="s">
        <v>2942</v>
      </c>
      <c r="B46" s="369" t="s">
        <v>2985</v>
      </c>
      <c r="C46" s="370"/>
      <c r="D46" s="228" t="s">
        <v>2951</v>
      </c>
      <c r="E46" s="228" t="s">
        <v>2953</v>
      </c>
      <c r="F46" s="269" t="s">
        <v>2955</v>
      </c>
      <c r="G46" s="270"/>
      <c r="H46" s="430" t="s">
        <v>2998</v>
      </c>
      <c r="I46" s="431"/>
      <c r="J46" s="431"/>
      <c r="K46" s="431"/>
      <c r="L46" s="431"/>
      <c r="M46" s="431"/>
      <c r="N46" s="432"/>
    </row>
    <row r="47" spans="1:15">
      <c r="A47" s="158"/>
      <c r="B47" s="369"/>
      <c r="C47" s="370"/>
      <c r="D47" s="228"/>
      <c r="E47" s="228"/>
      <c r="F47" s="369"/>
      <c r="G47" s="370"/>
      <c r="H47" s="336"/>
      <c r="I47" s="336"/>
      <c r="J47" s="336"/>
      <c r="K47" s="336"/>
      <c r="L47" s="336"/>
      <c r="M47" s="336"/>
      <c r="N47" s="337"/>
    </row>
    <row r="48" spans="1:15">
      <c r="A48" s="158"/>
      <c r="B48" s="369"/>
      <c r="C48" s="370"/>
      <c r="D48" s="228"/>
      <c r="E48" s="228"/>
      <c r="F48" s="369"/>
      <c r="G48" s="370"/>
      <c r="H48" s="336"/>
      <c r="I48" s="336"/>
      <c r="J48" s="336"/>
      <c r="K48" s="336"/>
      <c r="L48" s="336"/>
      <c r="M48" s="336"/>
      <c r="N48" s="337"/>
    </row>
    <row r="49" spans="1:14">
      <c r="A49" s="158"/>
      <c r="B49" s="369"/>
      <c r="C49" s="370"/>
      <c r="D49" s="228"/>
      <c r="E49" s="228"/>
      <c r="F49" s="369"/>
      <c r="G49" s="370"/>
      <c r="H49" s="336"/>
      <c r="I49" s="336"/>
      <c r="J49" s="336"/>
      <c r="K49" s="336"/>
      <c r="L49" s="336"/>
      <c r="M49" s="336"/>
      <c r="N49" s="337"/>
    </row>
    <row r="50" spans="1:14">
      <c r="A50" s="158"/>
      <c r="B50" s="369"/>
      <c r="C50" s="370"/>
      <c r="D50" s="228"/>
      <c r="E50" s="228"/>
      <c r="F50" s="369"/>
      <c r="G50" s="370"/>
      <c r="H50" s="336"/>
      <c r="I50" s="336"/>
      <c r="J50" s="336"/>
      <c r="K50" s="336"/>
      <c r="L50" s="336"/>
      <c r="M50" s="336"/>
      <c r="N50" s="337"/>
    </row>
    <row r="51" spans="1:14" ht="15.75" thickBot="1">
      <c r="A51" s="160"/>
      <c r="B51" s="425"/>
      <c r="C51" s="426"/>
      <c r="D51" s="161"/>
      <c r="E51" s="161"/>
      <c r="F51" s="369"/>
      <c r="G51" s="370"/>
      <c r="H51" s="336"/>
      <c r="I51" s="336"/>
      <c r="J51" s="336"/>
      <c r="K51" s="336"/>
      <c r="L51" s="336"/>
      <c r="M51" s="336"/>
      <c r="N51" s="337"/>
    </row>
    <row r="52" spans="1:14" ht="16.5" thickTop="1" thickBot="1">
      <c r="A52" s="59" t="s">
        <v>20</v>
      </c>
      <c r="B52" s="60" t="s">
        <v>31</v>
      </c>
      <c r="C52" s="11" t="s">
        <v>15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8"/>
    </row>
    <row r="53" spans="1:14" ht="45.75" thickTop="1">
      <c r="A53" s="397" t="s">
        <v>22</v>
      </c>
      <c r="B53" s="398"/>
      <c r="C53" s="393"/>
      <c r="D53" s="415" t="s">
        <v>21</v>
      </c>
      <c r="E53" s="415"/>
      <c r="F53" s="415"/>
      <c r="G53" s="415"/>
      <c r="H53" s="415" t="s">
        <v>23</v>
      </c>
      <c r="I53" s="415"/>
      <c r="J53" s="415"/>
      <c r="K53" s="415" t="s">
        <v>24</v>
      </c>
      <c r="L53" s="415"/>
      <c r="M53" s="38" t="s">
        <v>25</v>
      </c>
      <c r="N53" s="39" t="s">
        <v>26</v>
      </c>
    </row>
    <row r="54" spans="1:14">
      <c r="A54" s="367"/>
      <c r="B54" s="368"/>
      <c r="C54" s="45"/>
      <c r="D54" s="399"/>
      <c r="E54" s="399"/>
      <c r="F54" s="364"/>
      <c r="G54" s="364"/>
      <c r="H54" s="399"/>
      <c r="I54" s="399"/>
      <c r="J54" s="399"/>
      <c r="K54" s="400" t="s">
        <v>2969</v>
      </c>
      <c r="L54" s="400"/>
      <c r="M54" s="229">
        <v>0</v>
      </c>
      <c r="N54" s="183">
        <v>4</v>
      </c>
    </row>
    <row r="55" spans="1:14">
      <c r="A55" s="367"/>
      <c r="B55" s="368"/>
      <c r="C55" s="45"/>
      <c r="D55" s="399"/>
      <c r="E55" s="399"/>
      <c r="F55" s="399"/>
      <c r="G55" s="399"/>
      <c r="H55" s="399"/>
      <c r="I55" s="399"/>
      <c r="J55" s="399"/>
      <c r="K55" s="400" t="s">
        <v>2963</v>
      </c>
      <c r="L55" s="400"/>
      <c r="M55" s="230">
        <v>0</v>
      </c>
      <c r="N55" s="183">
        <v>14</v>
      </c>
    </row>
    <row r="56" spans="1:14">
      <c r="A56" s="367"/>
      <c r="B56" s="368"/>
      <c r="C56" s="363"/>
      <c r="D56" s="364"/>
      <c r="E56" s="365"/>
      <c r="F56" s="365"/>
      <c r="G56" s="366"/>
      <c r="H56" s="364"/>
      <c r="I56" s="365"/>
      <c r="J56" s="366"/>
      <c r="K56" s="362"/>
      <c r="L56" s="368"/>
      <c r="M56" s="42"/>
      <c r="N56" s="239"/>
    </row>
    <row r="57" spans="1:14">
      <c r="A57" s="367"/>
      <c r="B57" s="368"/>
      <c r="C57" s="363"/>
      <c r="D57" s="364"/>
      <c r="E57" s="365"/>
      <c r="F57" s="365"/>
      <c r="G57" s="366"/>
      <c r="H57" s="364"/>
      <c r="I57" s="365"/>
      <c r="J57" s="366"/>
      <c r="K57" s="362"/>
      <c r="L57" s="363"/>
      <c r="M57" s="233"/>
      <c r="N57" s="183"/>
    </row>
    <row r="58" spans="1:14">
      <c r="A58" s="31"/>
      <c r="B58" s="32"/>
      <c r="C58" s="32"/>
      <c r="D58" s="399"/>
      <c r="E58" s="399"/>
      <c r="F58" s="399"/>
      <c r="G58" s="399"/>
      <c r="H58" s="399"/>
      <c r="I58" s="399"/>
      <c r="J58" s="399"/>
      <c r="K58" s="400"/>
      <c r="L58" s="400"/>
      <c r="M58" s="229"/>
      <c r="N58" s="183"/>
    </row>
    <row r="59" spans="1:14">
      <c r="A59" s="233"/>
      <c r="B59" s="236"/>
      <c r="C59" s="234"/>
      <c r="D59" s="407"/>
      <c r="E59" s="407"/>
      <c r="F59" s="407"/>
      <c r="G59" s="407"/>
      <c r="H59" s="399"/>
      <c r="I59" s="399"/>
      <c r="J59" s="399"/>
      <c r="K59" s="400"/>
      <c r="L59" s="400"/>
      <c r="M59" s="229"/>
      <c r="N59" s="183"/>
    </row>
    <row r="60" spans="1:14">
      <c r="A60" s="134"/>
      <c r="B60" s="8"/>
      <c r="C60" s="8"/>
      <c r="D60" s="231"/>
      <c r="E60" s="231"/>
      <c r="F60" s="231"/>
      <c r="G60" s="232"/>
      <c r="H60" s="407"/>
      <c r="I60" s="407"/>
      <c r="J60" s="407"/>
      <c r="K60" s="408"/>
      <c r="L60" s="408"/>
      <c r="M60" s="230"/>
      <c r="N60" s="43"/>
    </row>
    <row r="61" spans="1:14">
      <c r="A61" s="235"/>
      <c r="B61" s="236"/>
      <c r="C61" s="236"/>
      <c r="D61" s="236"/>
      <c r="E61" s="236"/>
      <c r="F61" s="236"/>
      <c r="G61" s="234"/>
      <c r="H61" s="236"/>
      <c r="I61" s="236"/>
      <c r="J61" s="236"/>
      <c r="K61" s="233"/>
      <c r="L61" s="236"/>
      <c r="M61" s="229"/>
      <c r="N61" s="239"/>
    </row>
    <row r="62" spans="1:14">
      <c r="A62" s="255" t="s">
        <v>28</v>
      </c>
      <c r="B62" s="376">
        <v>14</v>
      </c>
      <c r="C62" s="377"/>
      <c r="D62" s="374" t="s">
        <v>2876</v>
      </c>
      <c r="E62" s="374"/>
      <c r="F62" s="374"/>
      <c r="G62" s="374"/>
      <c r="H62" s="375"/>
      <c r="I62" s="378" t="s">
        <v>2970</v>
      </c>
      <c r="J62" s="379"/>
      <c r="K62" s="379"/>
      <c r="L62" s="379"/>
      <c r="M62" s="379"/>
      <c r="N62" s="380"/>
    </row>
    <row r="63" spans="1:14" ht="15.75" customHeight="1">
      <c r="A63" s="401" t="s">
        <v>27</v>
      </c>
      <c r="B63" s="402"/>
      <c r="C63" s="402"/>
      <c r="D63" s="402"/>
      <c r="E63" s="402"/>
      <c r="F63" s="403"/>
      <c r="G63" s="202"/>
      <c r="H63" s="238"/>
      <c r="I63" s="172"/>
      <c r="J63" s="172"/>
      <c r="K63" s="172"/>
      <c r="L63" s="172"/>
      <c r="M63" s="172"/>
      <c r="N63" s="173"/>
    </row>
    <row r="64" spans="1:14" ht="16.5" customHeight="1" thickBot="1">
      <c r="A64" s="256" t="s">
        <v>29</v>
      </c>
      <c r="B64" s="200" t="s">
        <v>31</v>
      </c>
      <c r="C64" s="201" t="s">
        <v>15</v>
      </c>
      <c r="D64" s="381" t="s">
        <v>2905</v>
      </c>
      <c r="E64" s="394"/>
      <c r="F64" s="381"/>
      <c r="G64" s="382"/>
      <c r="H64" s="382"/>
      <c r="I64" s="382"/>
      <c r="J64" s="382"/>
      <c r="K64" s="382"/>
      <c r="L64" s="382"/>
      <c r="M64" s="382"/>
      <c r="N64" s="383"/>
    </row>
    <row r="65" spans="1:14" ht="16.5" thickTop="1" thickBot="1">
      <c r="A65" s="257" t="s">
        <v>30</v>
      </c>
      <c r="B65" s="61" t="s">
        <v>31</v>
      </c>
      <c r="C65" s="11" t="s">
        <v>15</v>
      </c>
      <c r="D65" s="384"/>
      <c r="E65" s="395"/>
      <c r="F65" s="384"/>
      <c r="G65" s="385"/>
      <c r="H65" s="385"/>
      <c r="I65" s="385"/>
      <c r="J65" s="385"/>
      <c r="K65" s="385"/>
      <c r="L65" s="385"/>
      <c r="M65" s="385"/>
      <c r="N65" s="386"/>
    </row>
    <row r="66" spans="1:14" s="49" customFormat="1" ht="16.5" thickTop="1" thickBot="1">
      <c r="A66" s="258" t="s">
        <v>2877</v>
      </c>
      <c r="B66" s="61" t="s">
        <v>31</v>
      </c>
      <c r="C66" s="11" t="s">
        <v>15</v>
      </c>
      <c r="D66" s="387"/>
      <c r="E66" s="396"/>
      <c r="F66" s="387"/>
      <c r="G66" s="388"/>
      <c r="H66" s="388"/>
      <c r="I66" s="388"/>
      <c r="J66" s="388"/>
      <c r="K66" s="388"/>
      <c r="L66" s="388"/>
      <c r="M66" s="388"/>
      <c r="N66" s="389"/>
    </row>
    <row r="67" spans="1:14" ht="66" customHeight="1" thickTop="1" thickBot="1">
      <c r="A67" s="321" t="s">
        <v>2882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4"/>
    </row>
    <row r="68" spans="1:14" ht="16.5" thickTop="1" thickBot="1">
      <c r="A68" s="165" t="s">
        <v>5</v>
      </c>
      <c r="B68" s="78">
        <v>42342</v>
      </c>
      <c r="C68" s="203"/>
      <c r="D68" s="165" t="s">
        <v>2857</v>
      </c>
      <c r="E68" s="341" t="s">
        <v>2982</v>
      </c>
      <c r="F68" s="341"/>
      <c r="G68" s="341"/>
      <c r="H68" s="341"/>
      <c r="I68" s="341"/>
      <c r="J68" s="341"/>
      <c r="K68" s="341"/>
      <c r="L68" s="341"/>
      <c r="M68" s="341"/>
      <c r="N68" s="342"/>
    </row>
    <row r="69" spans="1:14" ht="16.5" thickTop="1" thickBot="1">
      <c r="A69" s="167" t="s">
        <v>10</v>
      </c>
      <c r="B69" s="56">
        <v>2</v>
      </c>
      <c r="C69" s="11" t="s">
        <v>15</v>
      </c>
      <c r="D69" s="54"/>
      <c r="E69" s="53"/>
      <c r="F69" s="53"/>
      <c r="G69" s="53"/>
      <c r="H69" s="53"/>
      <c r="I69" s="53"/>
      <c r="J69" s="53"/>
      <c r="K69" s="53"/>
      <c r="L69" s="53"/>
      <c r="M69" s="53"/>
      <c r="N69" s="55"/>
    </row>
    <row r="70" spans="1:14" ht="16.5" thickTop="1" thickBot="1">
      <c r="A70" s="165" t="s">
        <v>2927</v>
      </c>
      <c r="B70" s="10" t="s">
        <v>13</v>
      </c>
      <c r="C70" s="11" t="s">
        <v>15</v>
      </c>
      <c r="D70" s="343" t="s">
        <v>2931</v>
      </c>
      <c r="E70" s="344"/>
      <c r="F70" s="344"/>
      <c r="G70" s="344"/>
      <c r="H70" s="344"/>
      <c r="I70" s="344"/>
      <c r="J70" s="345"/>
      <c r="K70" s="346" t="s">
        <v>3</v>
      </c>
      <c r="L70" s="347"/>
      <c r="M70" s="347"/>
      <c r="N70" s="348"/>
    </row>
    <row r="71" spans="1:14" ht="15.75" thickTop="1">
      <c r="A71" s="327" t="s">
        <v>2878</v>
      </c>
      <c r="B71" s="349"/>
      <c r="C71" s="197"/>
      <c r="D71" s="195" t="s">
        <v>2887</v>
      </c>
      <c r="E71" s="351">
        <v>28.107583330000001</v>
      </c>
      <c r="F71" s="352"/>
      <c r="G71" s="352"/>
      <c r="H71" s="352"/>
      <c r="I71" s="353"/>
      <c r="J71" s="354" t="s">
        <v>6</v>
      </c>
      <c r="K71" s="356">
        <v>57.94</v>
      </c>
      <c r="L71" s="357"/>
      <c r="M71" s="357"/>
      <c r="N71" s="358"/>
    </row>
    <row r="72" spans="1:14" ht="15.75" thickBot="1">
      <c r="A72" s="328"/>
      <c r="B72" s="350"/>
      <c r="C72" s="267"/>
      <c r="D72" s="268" t="s">
        <v>2888</v>
      </c>
      <c r="E72" s="434">
        <v>80.977816660000002</v>
      </c>
      <c r="F72" s="435"/>
      <c r="G72" s="435"/>
      <c r="H72" s="435"/>
      <c r="I72" s="436"/>
      <c r="J72" s="355"/>
      <c r="K72" s="359"/>
      <c r="L72" s="360"/>
      <c r="M72" s="360"/>
      <c r="N72" s="361"/>
    </row>
    <row r="73" spans="1:14" ht="37.5" customHeight="1" thickTop="1" thickBot="1">
      <c r="A73" s="254" t="s">
        <v>2900</v>
      </c>
      <c r="B73" s="371" t="s">
        <v>3019</v>
      </c>
      <c r="C73" s="372"/>
      <c r="D73" s="372"/>
      <c r="E73" s="372"/>
      <c r="F73" s="372"/>
      <c r="G73" s="372"/>
      <c r="H73" s="372"/>
      <c r="I73" s="372"/>
      <c r="J73" s="372"/>
      <c r="K73" s="372"/>
      <c r="L73" s="372"/>
      <c r="M73" s="372"/>
      <c r="N73" s="373"/>
    </row>
    <row r="74" spans="1:14" ht="45.75" thickTop="1">
      <c r="A74" s="162" t="s">
        <v>2874</v>
      </c>
      <c r="B74" s="404" t="s">
        <v>17</v>
      </c>
      <c r="C74" s="405"/>
      <c r="D74" s="237" t="s">
        <v>18</v>
      </c>
      <c r="E74" s="77" t="s">
        <v>2896</v>
      </c>
      <c r="F74" s="392" t="s">
        <v>2875</v>
      </c>
      <c r="G74" s="393"/>
      <c r="H74" s="392" t="s">
        <v>19</v>
      </c>
      <c r="I74" s="398"/>
      <c r="J74" s="398"/>
      <c r="K74" s="398"/>
      <c r="L74" s="398"/>
      <c r="M74" s="398"/>
      <c r="N74" s="406"/>
    </row>
    <row r="75" spans="1:14">
      <c r="A75" s="158" t="s">
        <v>2939</v>
      </c>
      <c r="B75" s="369" t="s">
        <v>2974</v>
      </c>
      <c r="C75" s="370"/>
      <c r="D75" s="228" t="s">
        <v>3000</v>
      </c>
      <c r="E75" s="228" t="s">
        <v>2952</v>
      </c>
      <c r="F75" s="369" t="s">
        <v>3002</v>
      </c>
      <c r="G75" s="370"/>
      <c r="H75" s="418" t="s">
        <v>3003</v>
      </c>
      <c r="I75" s="418"/>
      <c r="J75" s="418"/>
      <c r="K75" s="418"/>
      <c r="L75" s="418"/>
      <c r="M75" s="418"/>
      <c r="N75" s="419"/>
    </row>
    <row r="76" spans="1:14">
      <c r="A76" s="158" t="s">
        <v>2940</v>
      </c>
      <c r="B76" s="369" t="s">
        <v>2999</v>
      </c>
      <c r="C76" s="370"/>
      <c r="D76" s="228" t="s">
        <v>2951</v>
      </c>
      <c r="E76" s="228" t="s">
        <v>2952</v>
      </c>
      <c r="F76" s="369" t="s">
        <v>2955</v>
      </c>
      <c r="G76" s="370"/>
      <c r="H76" s="414" t="s">
        <v>3004</v>
      </c>
      <c r="I76" s="285"/>
      <c r="J76" s="285"/>
      <c r="K76" s="285"/>
      <c r="L76" s="285"/>
      <c r="M76" s="285"/>
      <c r="N76" s="286"/>
    </row>
    <row r="77" spans="1:14">
      <c r="A77" s="158" t="s">
        <v>2941</v>
      </c>
      <c r="B77" s="369" t="s">
        <v>2947</v>
      </c>
      <c r="C77" s="370"/>
      <c r="D77" s="228" t="s">
        <v>2951</v>
      </c>
      <c r="E77" s="228" t="s">
        <v>2952</v>
      </c>
      <c r="F77" s="369" t="s">
        <v>2955</v>
      </c>
      <c r="G77" s="370"/>
      <c r="H77" s="414" t="s">
        <v>3005</v>
      </c>
      <c r="I77" s="285"/>
      <c r="J77" s="285"/>
      <c r="K77" s="285"/>
      <c r="L77" s="285"/>
      <c r="M77" s="285"/>
      <c r="N77" s="286"/>
    </row>
    <row r="78" spans="1:14">
      <c r="A78" s="158" t="s">
        <v>2942</v>
      </c>
      <c r="B78" s="369" t="s">
        <v>2948</v>
      </c>
      <c r="C78" s="370"/>
      <c r="D78" s="228" t="s">
        <v>2951</v>
      </c>
      <c r="E78" s="228" t="s">
        <v>2953</v>
      </c>
      <c r="F78" s="369" t="s">
        <v>2955</v>
      </c>
      <c r="G78" s="370"/>
      <c r="H78" s="414" t="s">
        <v>3006</v>
      </c>
      <c r="I78" s="285"/>
      <c r="J78" s="285"/>
      <c r="K78" s="285"/>
      <c r="L78" s="285"/>
      <c r="M78" s="285"/>
      <c r="N78" s="286"/>
    </row>
    <row r="79" spans="1:14">
      <c r="A79" s="158" t="s">
        <v>2943</v>
      </c>
      <c r="B79" s="369" t="s">
        <v>2985</v>
      </c>
      <c r="C79" s="370"/>
      <c r="D79" s="228" t="s">
        <v>2951</v>
      </c>
      <c r="E79" s="228" t="s">
        <v>3001</v>
      </c>
      <c r="F79" s="369" t="s">
        <v>2955</v>
      </c>
      <c r="G79" s="370"/>
      <c r="H79" s="414" t="s">
        <v>3007</v>
      </c>
      <c r="I79" s="285"/>
      <c r="J79" s="285"/>
      <c r="K79" s="285"/>
      <c r="L79" s="285"/>
      <c r="M79" s="285"/>
      <c r="N79" s="286"/>
    </row>
    <row r="80" spans="1:14">
      <c r="A80" s="158"/>
      <c r="B80" s="369"/>
      <c r="C80" s="370"/>
      <c r="D80" s="228"/>
      <c r="E80" s="228"/>
      <c r="F80" s="369"/>
      <c r="G80" s="370"/>
      <c r="H80" s="338"/>
      <c r="I80" s="339"/>
      <c r="J80" s="339"/>
      <c r="K80" s="339"/>
      <c r="L80" s="339"/>
      <c r="M80" s="339"/>
      <c r="N80" s="340"/>
    </row>
    <row r="81" spans="1:14">
      <c r="A81" s="158"/>
      <c r="B81" s="369"/>
      <c r="C81" s="370"/>
      <c r="D81" s="228"/>
      <c r="E81" s="228"/>
      <c r="F81" s="369"/>
      <c r="G81" s="370"/>
      <c r="H81" s="338"/>
      <c r="I81" s="339"/>
      <c r="J81" s="339"/>
      <c r="K81" s="339"/>
      <c r="L81" s="339"/>
      <c r="M81" s="339"/>
      <c r="N81" s="340"/>
    </row>
    <row r="82" spans="1:14">
      <c r="A82" s="158"/>
      <c r="B82" s="369"/>
      <c r="C82" s="370"/>
      <c r="D82" s="228"/>
      <c r="E82" s="228"/>
      <c r="F82" s="369"/>
      <c r="G82" s="370"/>
      <c r="H82" s="338"/>
      <c r="I82" s="339"/>
      <c r="J82" s="339"/>
      <c r="K82" s="339"/>
      <c r="L82" s="339"/>
      <c r="M82" s="339"/>
      <c r="N82" s="340"/>
    </row>
    <row r="83" spans="1:14" ht="15.75" thickBot="1">
      <c r="A83" s="160"/>
      <c r="B83" s="390"/>
      <c r="C83" s="391"/>
      <c r="D83" s="161"/>
      <c r="E83" s="161"/>
      <c r="F83" s="369"/>
      <c r="G83" s="370"/>
      <c r="H83" s="338"/>
      <c r="I83" s="339"/>
      <c r="J83" s="339"/>
      <c r="K83" s="339"/>
      <c r="L83" s="339"/>
      <c r="M83" s="339"/>
      <c r="N83" s="340"/>
    </row>
    <row r="84" spans="1:14" ht="16.5" thickTop="1" thickBot="1">
      <c r="A84" s="59" t="s">
        <v>20</v>
      </c>
      <c r="B84" s="60" t="s">
        <v>31</v>
      </c>
      <c r="C84" s="11" t="s">
        <v>15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8"/>
    </row>
    <row r="85" spans="1:14" ht="45.75" thickTop="1">
      <c r="A85" s="397" t="s">
        <v>22</v>
      </c>
      <c r="B85" s="398"/>
      <c r="C85" s="393"/>
      <c r="D85" s="392" t="s">
        <v>21</v>
      </c>
      <c r="E85" s="398"/>
      <c r="F85" s="398"/>
      <c r="G85" s="393"/>
      <c r="H85" s="392" t="s">
        <v>23</v>
      </c>
      <c r="I85" s="398"/>
      <c r="J85" s="393"/>
      <c r="K85" s="392" t="s">
        <v>24</v>
      </c>
      <c r="L85" s="393"/>
      <c r="M85" s="38" t="s">
        <v>25</v>
      </c>
      <c r="N85" s="39" t="s">
        <v>26</v>
      </c>
    </row>
    <row r="86" spans="1:14">
      <c r="A86" s="367"/>
      <c r="B86" s="368"/>
      <c r="C86" s="45"/>
      <c r="D86" s="364"/>
      <c r="E86" s="365"/>
      <c r="F86" s="365"/>
      <c r="G86" s="366"/>
      <c r="H86" s="364"/>
      <c r="I86" s="365"/>
      <c r="J86" s="366"/>
      <c r="K86" s="362" t="s">
        <v>2981</v>
      </c>
      <c r="L86" s="363"/>
      <c r="M86" s="229">
        <v>0</v>
      </c>
      <c r="N86" s="183">
        <v>1</v>
      </c>
    </row>
    <row r="87" spans="1:14">
      <c r="A87" s="367"/>
      <c r="B87" s="368"/>
      <c r="C87" s="45"/>
      <c r="D87" s="364"/>
      <c r="E87" s="365"/>
      <c r="F87" s="365"/>
      <c r="G87" s="366"/>
      <c r="H87" s="364"/>
      <c r="I87" s="365"/>
      <c r="J87" s="366"/>
      <c r="K87" s="362" t="s">
        <v>2969</v>
      </c>
      <c r="L87" s="363"/>
      <c r="M87" s="230">
        <v>0</v>
      </c>
      <c r="N87" s="183">
        <v>6</v>
      </c>
    </row>
    <row r="88" spans="1:14">
      <c r="A88" s="367"/>
      <c r="B88" s="368"/>
      <c r="C88" s="363"/>
      <c r="D88" s="364"/>
      <c r="E88" s="365"/>
      <c r="F88" s="365"/>
      <c r="G88" s="366"/>
      <c r="H88" s="364"/>
      <c r="I88" s="365"/>
      <c r="J88" s="366"/>
      <c r="K88" s="362"/>
      <c r="L88" s="363"/>
      <c r="M88" s="42"/>
      <c r="N88" s="239"/>
    </row>
    <row r="89" spans="1:14">
      <c r="A89" s="367"/>
      <c r="B89" s="368"/>
      <c r="C89" s="363"/>
      <c r="D89" s="364"/>
      <c r="E89" s="365"/>
      <c r="F89" s="365"/>
      <c r="G89" s="366"/>
      <c r="H89" s="364"/>
      <c r="I89" s="365"/>
      <c r="J89" s="366"/>
      <c r="K89" s="362"/>
      <c r="L89" s="363"/>
      <c r="M89" s="233"/>
      <c r="N89" s="183"/>
    </row>
    <row r="90" spans="1:14">
      <c r="A90" s="31"/>
      <c r="B90" s="32"/>
      <c r="C90" s="32"/>
      <c r="D90" s="364"/>
      <c r="E90" s="365"/>
      <c r="F90" s="365"/>
      <c r="G90" s="366"/>
      <c r="H90" s="364"/>
      <c r="I90" s="365"/>
      <c r="J90" s="366"/>
      <c r="K90" s="362"/>
      <c r="L90" s="363"/>
      <c r="M90" s="229"/>
      <c r="N90" s="183"/>
    </row>
    <row r="91" spans="1:14">
      <c r="A91" s="235"/>
      <c r="B91" s="236"/>
      <c r="C91" s="234"/>
      <c r="D91" s="364"/>
      <c r="E91" s="365"/>
      <c r="F91" s="365"/>
      <c r="G91" s="366"/>
      <c r="H91" s="364"/>
      <c r="I91" s="365"/>
      <c r="J91" s="366"/>
      <c r="K91" s="362"/>
      <c r="L91" s="363"/>
      <c r="M91" s="229"/>
      <c r="N91" s="183"/>
    </row>
    <row r="92" spans="1:14">
      <c r="A92" s="9"/>
      <c r="B92" s="8"/>
      <c r="C92" s="8"/>
      <c r="D92" s="231"/>
      <c r="E92" s="231"/>
      <c r="F92" s="231"/>
      <c r="G92" s="232"/>
      <c r="H92" s="364"/>
      <c r="I92" s="365"/>
      <c r="J92" s="366"/>
      <c r="K92" s="362"/>
      <c r="L92" s="363"/>
      <c r="M92" s="230"/>
      <c r="N92" s="43"/>
    </row>
    <row r="93" spans="1:14">
      <c r="A93" s="9"/>
      <c r="B93" s="8"/>
      <c r="C93" s="8"/>
      <c r="D93" s="8"/>
      <c r="E93" s="8"/>
      <c r="F93" s="8"/>
      <c r="G93" s="45"/>
      <c r="H93" s="8"/>
      <c r="I93" s="8"/>
      <c r="J93" s="8"/>
      <c r="K93" s="138"/>
      <c r="L93" s="8"/>
      <c r="M93" s="139"/>
      <c r="N93" s="137"/>
    </row>
    <row r="94" spans="1:14">
      <c r="A94" s="255" t="s">
        <v>28</v>
      </c>
      <c r="B94" s="376">
        <v>14</v>
      </c>
      <c r="C94" s="377"/>
      <c r="D94" s="374" t="s">
        <v>2876</v>
      </c>
      <c r="E94" s="374"/>
      <c r="F94" s="374"/>
      <c r="G94" s="374"/>
      <c r="H94" s="375"/>
      <c r="I94" s="378" t="s">
        <v>2970</v>
      </c>
      <c r="J94" s="379"/>
      <c r="K94" s="379"/>
      <c r="L94" s="379"/>
      <c r="M94" s="379"/>
      <c r="N94" s="380"/>
    </row>
    <row r="95" spans="1:14" ht="15.75" customHeight="1">
      <c r="A95" s="401" t="s">
        <v>27</v>
      </c>
      <c r="B95" s="402"/>
      <c r="C95" s="402"/>
      <c r="D95" s="402"/>
      <c r="E95" s="402"/>
      <c r="F95" s="403"/>
      <c r="G95" s="202">
        <v>10</v>
      </c>
      <c r="H95" s="238"/>
      <c r="I95" s="172"/>
      <c r="J95" s="172"/>
      <c r="K95" s="172"/>
      <c r="L95" s="172"/>
      <c r="M95" s="172"/>
      <c r="N95" s="173"/>
    </row>
    <row r="96" spans="1:14" ht="16.5" customHeight="1" thickBot="1">
      <c r="A96" s="256" t="s">
        <v>29</v>
      </c>
      <c r="B96" s="200" t="s">
        <v>31</v>
      </c>
      <c r="C96" s="201" t="s">
        <v>15</v>
      </c>
      <c r="D96" s="381" t="s">
        <v>2905</v>
      </c>
      <c r="E96" s="394"/>
      <c r="F96" s="381"/>
      <c r="G96" s="382"/>
      <c r="H96" s="382"/>
      <c r="I96" s="382"/>
      <c r="J96" s="382"/>
      <c r="K96" s="382"/>
      <c r="L96" s="382"/>
      <c r="M96" s="382"/>
      <c r="N96" s="383"/>
    </row>
    <row r="97" spans="1:14" ht="16.5" thickTop="1" thickBot="1">
      <c r="A97" s="257" t="s">
        <v>30</v>
      </c>
      <c r="B97" s="61" t="s">
        <v>31</v>
      </c>
      <c r="C97" s="11" t="s">
        <v>15</v>
      </c>
      <c r="D97" s="384"/>
      <c r="E97" s="395"/>
      <c r="F97" s="384"/>
      <c r="G97" s="385"/>
      <c r="H97" s="385"/>
      <c r="I97" s="385"/>
      <c r="J97" s="385"/>
      <c r="K97" s="385"/>
      <c r="L97" s="385"/>
      <c r="M97" s="385"/>
      <c r="N97" s="386"/>
    </row>
    <row r="98" spans="1:14" ht="16.5" thickTop="1" thickBot="1">
      <c r="A98" s="258" t="s">
        <v>2877</v>
      </c>
      <c r="B98" s="61" t="s">
        <v>31</v>
      </c>
      <c r="C98" s="11" t="s">
        <v>15</v>
      </c>
      <c r="D98" s="387"/>
      <c r="E98" s="396"/>
      <c r="F98" s="387"/>
      <c r="G98" s="388"/>
      <c r="H98" s="388"/>
      <c r="I98" s="388"/>
      <c r="J98" s="388"/>
      <c r="K98" s="388"/>
      <c r="L98" s="388"/>
      <c r="M98" s="388"/>
      <c r="N98" s="389"/>
    </row>
    <row r="99" spans="1:14" ht="16.5" thickTop="1" thickBot="1">
      <c r="A99" s="1" t="s">
        <v>2908</v>
      </c>
    </row>
    <row r="100" spans="1:14" ht="56.25" customHeight="1" thickTop="1" thickBot="1">
      <c r="A100" s="321" t="s">
        <v>2925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4"/>
    </row>
    <row r="101" spans="1:14" ht="16.5" thickTop="1" thickBot="1">
      <c r="A101" s="165" t="s">
        <v>5</v>
      </c>
      <c r="B101" s="78"/>
      <c r="C101" s="203"/>
      <c r="D101" s="165" t="s">
        <v>2857</v>
      </c>
      <c r="E101" s="341"/>
      <c r="F101" s="341"/>
      <c r="G101" s="341"/>
      <c r="H101" s="341"/>
      <c r="I101" s="341"/>
      <c r="J101" s="341"/>
      <c r="K101" s="341"/>
      <c r="L101" s="341"/>
      <c r="M101" s="341"/>
      <c r="N101" s="342"/>
    </row>
    <row r="102" spans="1:14" ht="16.5" thickTop="1" thickBot="1">
      <c r="A102" s="167" t="s">
        <v>10</v>
      </c>
      <c r="B102" s="56"/>
      <c r="C102" s="11" t="s">
        <v>15</v>
      </c>
      <c r="D102" s="54"/>
      <c r="E102" s="53"/>
      <c r="F102" s="53"/>
      <c r="G102" s="53"/>
      <c r="H102" s="53"/>
      <c r="I102" s="53"/>
      <c r="J102" s="53"/>
      <c r="K102" s="53"/>
      <c r="L102" s="53"/>
      <c r="M102" s="53"/>
      <c r="N102" s="55"/>
    </row>
    <row r="103" spans="1:14" ht="16.5" thickTop="1" thickBot="1">
      <c r="A103" s="165" t="s">
        <v>2927</v>
      </c>
      <c r="B103" s="10"/>
      <c r="C103" s="11" t="s">
        <v>15</v>
      </c>
      <c r="D103" s="343" t="s">
        <v>2931</v>
      </c>
      <c r="E103" s="344"/>
      <c r="F103" s="344"/>
      <c r="G103" s="344"/>
      <c r="H103" s="344"/>
      <c r="I103" s="344"/>
      <c r="J103" s="345"/>
      <c r="K103" s="346" t="s">
        <v>3</v>
      </c>
      <c r="L103" s="347"/>
      <c r="M103" s="347"/>
      <c r="N103" s="348"/>
    </row>
    <row r="104" spans="1:14" ht="15.75" thickTop="1">
      <c r="A104" s="327" t="s">
        <v>2878</v>
      </c>
      <c r="B104" s="349"/>
      <c r="C104" s="197"/>
      <c r="D104" s="195" t="s">
        <v>2887</v>
      </c>
      <c r="E104" s="351"/>
      <c r="F104" s="352"/>
      <c r="G104" s="352"/>
      <c r="H104" s="352"/>
      <c r="I104" s="353"/>
      <c r="J104" s="354" t="s">
        <v>6</v>
      </c>
      <c r="K104" s="356"/>
      <c r="L104" s="357"/>
      <c r="M104" s="357"/>
      <c r="N104" s="358"/>
    </row>
    <row r="105" spans="1:14" ht="15.75" thickBot="1">
      <c r="A105" s="328"/>
      <c r="B105" s="350"/>
      <c r="C105" s="267"/>
      <c r="D105" s="268" t="s">
        <v>2888</v>
      </c>
      <c r="E105" s="434"/>
      <c r="F105" s="435"/>
      <c r="G105" s="435"/>
      <c r="H105" s="435"/>
      <c r="I105" s="436"/>
      <c r="J105" s="355"/>
      <c r="K105" s="359"/>
      <c r="L105" s="360"/>
      <c r="M105" s="360"/>
      <c r="N105" s="361"/>
    </row>
    <row r="106" spans="1:14" ht="37.5" customHeight="1" thickTop="1" thickBot="1">
      <c r="A106" s="254" t="s">
        <v>2900</v>
      </c>
      <c r="B106" s="371"/>
      <c r="C106" s="372"/>
      <c r="D106" s="372"/>
      <c r="E106" s="372"/>
      <c r="F106" s="372"/>
      <c r="G106" s="372"/>
      <c r="H106" s="372"/>
      <c r="I106" s="372"/>
      <c r="J106" s="372"/>
      <c r="K106" s="372"/>
      <c r="L106" s="372"/>
      <c r="M106" s="372"/>
      <c r="N106" s="373"/>
    </row>
    <row r="107" spans="1:14" ht="45.75" thickTop="1">
      <c r="A107" s="162" t="s">
        <v>2874</v>
      </c>
      <c r="B107" s="404" t="s">
        <v>17</v>
      </c>
      <c r="C107" s="405"/>
      <c r="D107" s="237" t="s">
        <v>18</v>
      </c>
      <c r="E107" s="77" t="s">
        <v>2896</v>
      </c>
      <c r="F107" s="392" t="s">
        <v>2875</v>
      </c>
      <c r="G107" s="393"/>
      <c r="H107" s="392" t="s">
        <v>19</v>
      </c>
      <c r="I107" s="398"/>
      <c r="J107" s="398"/>
      <c r="K107" s="398"/>
      <c r="L107" s="398"/>
      <c r="M107" s="398"/>
      <c r="N107" s="406"/>
    </row>
    <row r="108" spans="1:14">
      <c r="A108" s="158"/>
      <c r="B108" s="369"/>
      <c r="C108" s="370"/>
      <c r="D108" s="228"/>
      <c r="E108" s="228"/>
      <c r="F108" s="369"/>
      <c r="G108" s="370"/>
      <c r="H108" s="338"/>
      <c r="I108" s="339"/>
      <c r="J108" s="339"/>
      <c r="K108" s="339"/>
      <c r="L108" s="339"/>
      <c r="M108" s="339"/>
      <c r="N108" s="340"/>
    </row>
    <row r="109" spans="1:14">
      <c r="A109" s="158"/>
      <c r="B109" s="369"/>
      <c r="C109" s="370"/>
      <c r="D109" s="228"/>
      <c r="E109" s="228"/>
      <c r="F109" s="369"/>
      <c r="G109" s="370"/>
      <c r="H109" s="338"/>
      <c r="I109" s="339"/>
      <c r="J109" s="339"/>
      <c r="K109" s="339"/>
      <c r="L109" s="339"/>
      <c r="M109" s="339"/>
      <c r="N109" s="340"/>
    </row>
    <row r="110" spans="1:14">
      <c r="A110" s="158"/>
      <c r="B110" s="369"/>
      <c r="C110" s="370"/>
      <c r="D110" s="228"/>
      <c r="E110" s="228"/>
      <c r="F110" s="369"/>
      <c r="G110" s="370"/>
      <c r="H110" s="338"/>
      <c r="I110" s="339"/>
      <c r="J110" s="339"/>
      <c r="K110" s="339"/>
      <c r="L110" s="339"/>
      <c r="M110" s="339"/>
      <c r="N110" s="340"/>
    </row>
    <row r="111" spans="1:14">
      <c r="A111" s="158"/>
      <c r="B111" s="369"/>
      <c r="C111" s="370"/>
      <c r="D111" s="228"/>
      <c r="E111" s="228"/>
      <c r="F111" s="369"/>
      <c r="G111" s="370"/>
      <c r="H111" s="338"/>
      <c r="I111" s="339"/>
      <c r="J111" s="339"/>
      <c r="K111" s="339"/>
      <c r="L111" s="339"/>
      <c r="M111" s="339"/>
      <c r="N111" s="340"/>
    </row>
    <row r="112" spans="1:14">
      <c r="A112" s="158"/>
      <c r="B112" s="369"/>
      <c r="C112" s="370"/>
      <c r="D112" s="228"/>
      <c r="E112" s="228"/>
      <c r="F112" s="369"/>
      <c r="G112" s="370"/>
      <c r="H112" s="338"/>
      <c r="I112" s="339"/>
      <c r="J112" s="339"/>
      <c r="K112" s="339"/>
      <c r="L112" s="339"/>
      <c r="M112" s="339"/>
      <c r="N112" s="340"/>
    </row>
    <row r="113" spans="1:15">
      <c r="A113" s="158"/>
      <c r="B113" s="369"/>
      <c r="C113" s="370"/>
      <c r="D113" s="228"/>
      <c r="E113" s="228"/>
      <c r="F113" s="369"/>
      <c r="G113" s="370"/>
      <c r="H113" s="338"/>
      <c r="I113" s="339"/>
      <c r="J113" s="339"/>
      <c r="K113" s="339"/>
      <c r="L113" s="339"/>
      <c r="M113" s="339"/>
      <c r="N113" s="340"/>
    </row>
    <row r="114" spans="1:15">
      <c r="A114" s="158"/>
      <c r="B114" s="369"/>
      <c r="C114" s="370"/>
      <c r="D114" s="228"/>
      <c r="E114" s="228"/>
      <c r="F114" s="369"/>
      <c r="G114" s="370"/>
      <c r="H114" s="338"/>
      <c r="I114" s="339"/>
      <c r="J114" s="339"/>
      <c r="K114" s="339"/>
      <c r="L114" s="339"/>
      <c r="M114" s="339"/>
      <c r="N114" s="340"/>
    </row>
    <row r="115" spans="1:15">
      <c r="A115" s="158"/>
      <c r="B115" s="369"/>
      <c r="C115" s="370"/>
      <c r="D115" s="228"/>
      <c r="E115" s="228"/>
      <c r="F115" s="369"/>
      <c r="G115" s="370"/>
      <c r="H115" s="338"/>
      <c r="I115" s="339"/>
      <c r="J115" s="339"/>
      <c r="K115" s="339"/>
      <c r="L115" s="339"/>
      <c r="M115" s="339"/>
      <c r="N115" s="340"/>
      <c r="O115" s="1"/>
    </row>
    <row r="116" spans="1:15" ht="15.75" thickBot="1">
      <c r="A116" s="160"/>
      <c r="B116" s="390"/>
      <c r="C116" s="391"/>
      <c r="D116" s="161"/>
      <c r="E116" s="161"/>
      <c r="F116" s="369"/>
      <c r="G116" s="370"/>
      <c r="H116" s="338"/>
      <c r="I116" s="339"/>
      <c r="J116" s="339"/>
      <c r="K116" s="339"/>
      <c r="L116" s="339"/>
      <c r="M116" s="339"/>
      <c r="N116" s="340"/>
    </row>
    <row r="117" spans="1:15" ht="16.5" thickTop="1" thickBot="1">
      <c r="A117" s="59" t="s">
        <v>20</v>
      </c>
      <c r="B117" s="60"/>
      <c r="C117" s="11" t="s">
        <v>15</v>
      </c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8"/>
    </row>
    <row r="118" spans="1:15" ht="45.75" thickTop="1">
      <c r="A118" s="397" t="s">
        <v>22</v>
      </c>
      <c r="B118" s="398"/>
      <c r="C118" s="393"/>
      <c r="D118" s="392" t="s">
        <v>21</v>
      </c>
      <c r="E118" s="398"/>
      <c r="F118" s="398"/>
      <c r="G118" s="393"/>
      <c r="H118" s="392" t="s">
        <v>23</v>
      </c>
      <c r="I118" s="398"/>
      <c r="J118" s="393"/>
      <c r="K118" s="392" t="s">
        <v>24</v>
      </c>
      <c r="L118" s="393"/>
      <c r="M118" s="38" t="s">
        <v>25</v>
      </c>
      <c r="N118" s="39" t="s">
        <v>26</v>
      </c>
    </row>
    <row r="119" spans="1:15">
      <c r="A119" s="367"/>
      <c r="B119" s="368"/>
      <c r="C119" s="45"/>
      <c r="D119" s="364"/>
      <c r="E119" s="365"/>
      <c r="F119" s="365"/>
      <c r="G119" s="366"/>
      <c r="H119" s="364"/>
      <c r="I119" s="365"/>
      <c r="J119" s="366"/>
      <c r="K119" s="362"/>
      <c r="L119" s="363"/>
      <c r="M119" s="229"/>
      <c r="N119" s="183"/>
    </row>
    <row r="120" spans="1:15">
      <c r="A120" s="367"/>
      <c r="B120" s="368"/>
      <c r="C120" s="45"/>
      <c r="D120" s="364"/>
      <c r="E120" s="365"/>
      <c r="F120" s="365"/>
      <c r="G120" s="366"/>
      <c r="H120" s="364"/>
      <c r="I120" s="365"/>
      <c r="J120" s="366"/>
      <c r="K120" s="362"/>
      <c r="L120" s="363"/>
      <c r="M120" s="230"/>
      <c r="N120" s="183"/>
    </row>
    <row r="121" spans="1:15">
      <c r="A121" s="367"/>
      <c r="B121" s="368"/>
      <c r="C121" s="363"/>
      <c r="D121" s="364"/>
      <c r="E121" s="365"/>
      <c r="F121" s="365"/>
      <c r="G121" s="366"/>
      <c r="H121" s="364"/>
      <c r="I121" s="365"/>
      <c r="J121" s="366"/>
      <c r="K121" s="362"/>
      <c r="L121" s="363"/>
      <c r="M121" s="42"/>
      <c r="N121" s="239"/>
    </row>
    <row r="122" spans="1:15">
      <c r="A122" s="367"/>
      <c r="B122" s="368"/>
      <c r="C122" s="363"/>
      <c r="D122" s="364"/>
      <c r="E122" s="365"/>
      <c r="F122" s="365"/>
      <c r="G122" s="366"/>
      <c r="H122" s="364"/>
      <c r="I122" s="365"/>
      <c r="J122" s="366"/>
      <c r="K122" s="362"/>
      <c r="L122" s="363"/>
      <c r="M122" s="233"/>
      <c r="N122" s="183"/>
    </row>
    <row r="123" spans="1:15">
      <c r="A123" s="31"/>
      <c r="B123" s="32"/>
      <c r="C123" s="32"/>
      <c r="D123" s="364"/>
      <c r="E123" s="365"/>
      <c r="F123" s="365"/>
      <c r="G123" s="366"/>
      <c r="H123" s="364"/>
      <c r="I123" s="365"/>
      <c r="J123" s="366"/>
      <c r="K123" s="362"/>
      <c r="L123" s="363"/>
      <c r="M123" s="229"/>
      <c r="N123" s="183"/>
    </row>
    <row r="124" spans="1:15">
      <c r="A124" s="235"/>
      <c r="B124" s="236"/>
      <c r="C124" s="234"/>
      <c r="D124" s="364"/>
      <c r="E124" s="365"/>
      <c r="F124" s="365"/>
      <c r="G124" s="366"/>
      <c r="H124" s="364"/>
      <c r="I124" s="365"/>
      <c r="J124" s="366"/>
      <c r="K124" s="362"/>
      <c r="L124" s="363"/>
      <c r="M124" s="229"/>
      <c r="N124" s="183"/>
    </row>
    <row r="125" spans="1:15">
      <c r="A125" s="9"/>
      <c r="B125" s="8"/>
      <c r="C125" s="8"/>
      <c r="D125" s="231"/>
      <c r="E125" s="231"/>
      <c r="F125" s="231"/>
      <c r="G125" s="232"/>
      <c r="H125" s="364"/>
      <c r="I125" s="365"/>
      <c r="J125" s="366"/>
      <c r="K125" s="362"/>
      <c r="L125" s="363"/>
      <c r="M125" s="230"/>
      <c r="N125" s="43"/>
    </row>
    <row r="126" spans="1:15">
      <c r="A126" s="9"/>
      <c r="B126" s="8"/>
      <c r="C126" s="8"/>
      <c r="D126" s="8"/>
      <c r="E126" s="8"/>
      <c r="F126" s="8"/>
      <c r="G126" s="45"/>
      <c r="H126" s="8"/>
      <c r="I126" s="8"/>
      <c r="J126" s="8"/>
      <c r="K126" s="138"/>
      <c r="L126" s="8"/>
      <c r="M126" s="139"/>
      <c r="N126" s="137"/>
    </row>
    <row r="127" spans="1:15">
      <c r="A127" s="255" t="s">
        <v>28</v>
      </c>
      <c r="B127" s="376"/>
      <c r="C127" s="377"/>
      <c r="D127" s="374" t="s">
        <v>2876</v>
      </c>
      <c r="E127" s="374"/>
      <c r="F127" s="374"/>
      <c r="G127" s="374"/>
      <c r="H127" s="375"/>
      <c r="I127" s="378"/>
      <c r="J127" s="379"/>
      <c r="K127" s="379"/>
      <c r="L127" s="379"/>
      <c r="M127" s="379"/>
      <c r="N127" s="380"/>
    </row>
    <row r="128" spans="1:15" ht="15.75" customHeight="1">
      <c r="A128" s="401" t="s">
        <v>27</v>
      </c>
      <c r="B128" s="402"/>
      <c r="C128" s="402"/>
      <c r="D128" s="402"/>
      <c r="E128" s="402"/>
      <c r="F128" s="403"/>
      <c r="G128" s="202"/>
      <c r="H128" s="238"/>
      <c r="I128" s="172"/>
      <c r="J128" s="172"/>
      <c r="K128" s="172"/>
      <c r="L128" s="172"/>
      <c r="M128" s="172"/>
      <c r="N128" s="173"/>
    </row>
    <row r="129" spans="1:14" ht="16.5" customHeight="1" thickBot="1">
      <c r="A129" s="256" t="s">
        <v>29</v>
      </c>
      <c r="B129" s="200"/>
      <c r="C129" s="201" t="s">
        <v>15</v>
      </c>
      <c r="D129" s="381" t="s">
        <v>2905</v>
      </c>
      <c r="E129" s="394"/>
      <c r="F129" s="381"/>
      <c r="G129" s="382"/>
      <c r="H129" s="382"/>
      <c r="I129" s="382"/>
      <c r="J129" s="382"/>
      <c r="K129" s="382"/>
      <c r="L129" s="382"/>
      <c r="M129" s="382"/>
      <c r="N129" s="383"/>
    </row>
    <row r="130" spans="1:14" ht="16.5" thickTop="1" thickBot="1">
      <c r="A130" s="257" t="s">
        <v>30</v>
      </c>
      <c r="B130" s="61"/>
      <c r="C130" s="11" t="s">
        <v>15</v>
      </c>
      <c r="D130" s="384"/>
      <c r="E130" s="395"/>
      <c r="F130" s="384"/>
      <c r="G130" s="385"/>
      <c r="H130" s="385"/>
      <c r="I130" s="385"/>
      <c r="J130" s="385"/>
      <c r="K130" s="385"/>
      <c r="L130" s="385"/>
      <c r="M130" s="385"/>
      <c r="N130" s="386"/>
    </row>
    <row r="131" spans="1:14" ht="16.5" thickTop="1" thickBot="1">
      <c r="A131" s="258" t="s">
        <v>2877</v>
      </c>
      <c r="B131" s="61"/>
      <c r="C131" s="11" t="s">
        <v>15</v>
      </c>
      <c r="D131" s="387"/>
      <c r="E131" s="396"/>
      <c r="F131" s="387"/>
      <c r="G131" s="388"/>
      <c r="H131" s="388"/>
      <c r="I131" s="388"/>
      <c r="J131" s="388"/>
      <c r="K131" s="388"/>
      <c r="L131" s="388"/>
      <c r="M131" s="388"/>
      <c r="N131" s="389"/>
    </row>
    <row r="132" spans="1:14" ht="15.75" thickTop="1">
      <c r="A132" s="1" t="s">
        <v>2934</v>
      </c>
    </row>
    <row r="143" spans="1:14" ht="45.75" customHeight="1"/>
    <row r="152" ht="48" customHeight="1"/>
    <row r="153" ht="108" customHeight="1"/>
  </sheetData>
  <mergeCells count="294"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  <mergeCell ref="B13:C13"/>
    <mergeCell ref="H13:N13"/>
    <mergeCell ref="B14:C14"/>
    <mergeCell ref="H14:N14"/>
    <mergeCell ref="B11:C11"/>
    <mergeCell ref="H11:N11"/>
    <mergeCell ref="B12:C12"/>
    <mergeCell ref="H12:N12"/>
    <mergeCell ref="B19:C19"/>
    <mergeCell ref="A21:C21"/>
    <mergeCell ref="D21:G21"/>
    <mergeCell ref="H21:J21"/>
    <mergeCell ref="K21:L21"/>
    <mergeCell ref="B15:C15"/>
    <mergeCell ref="H15:N15"/>
    <mergeCell ref="B16:C16"/>
    <mergeCell ref="B17:C17"/>
    <mergeCell ref="B18:C18"/>
    <mergeCell ref="F17:G17"/>
    <mergeCell ref="F19:G19"/>
    <mergeCell ref="F18:G18"/>
    <mergeCell ref="H16:N16"/>
    <mergeCell ref="H17:N17"/>
    <mergeCell ref="H18:N18"/>
    <mergeCell ref="H19:N19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H28:J28"/>
    <mergeCell ref="K28:L28"/>
    <mergeCell ref="H29:J29"/>
    <mergeCell ref="A31:F31"/>
    <mergeCell ref="D26:G26"/>
    <mergeCell ref="H26:J26"/>
    <mergeCell ref="K26:L26"/>
    <mergeCell ref="D27:G27"/>
    <mergeCell ref="H27:J27"/>
    <mergeCell ref="K27:L27"/>
    <mergeCell ref="D38:J38"/>
    <mergeCell ref="K38:N38"/>
    <mergeCell ref="A39:A40"/>
    <mergeCell ref="B39:B40"/>
    <mergeCell ref="E39:I39"/>
    <mergeCell ref="J39:J40"/>
    <mergeCell ref="K39:N40"/>
    <mergeCell ref="D32:E34"/>
    <mergeCell ref="A35:N35"/>
    <mergeCell ref="E36:N36"/>
    <mergeCell ref="E40:I40"/>
    <mergeCell ref="B44:C44"/>
    <mergeCell ref="H44:N44"/>
    <mergeCell ref="B45:C45"/>
    <mergeCell ref="H45:N45"/>
    <mergeCell ref="B41:N41"/>
    <mergeCell ref="B42:C42"/>
    <mergeCell ref="F42:G42"/>
    <mergeCell ref="H42:N42"/>
    <mergeCell ref="B43:C43"/>
    <mergeCell ref="H43:N43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7:G47"/>
    <mergeCell ref="F49:G49"/>
    <mergeCell ref="H46:N46"/>
    <mergeCell ref="H47:N47"/>
    <mergeCell ref="H49:N49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D59:G59"/>
    <mergeCell ref="H59:J59"/>
    <mergeCell ref="K59:L59"/>
    <mergeCell ref="H60:J60"/>
    <mergeCell ref="K60:L60"/>
    <mergeCell ref="D62:H62"/>
    <mergeCell ref="I62:N62"/>
    <mergeCell ref="A57:C57"/>
    <mergeCell ref="D57:G57"/>
    <mergeCell ref="H57:J57"/>
    <mergeCell ref="K57:L57"/>
    <mergeCell ref="D58:G58"/>
    <mergeCell ref="H58:J58"/>
    <mergeCell ref="K58:L58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F64:N66"/>
    <mergeCell ref="E72:I72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A87:B87"/>
    <mergeCell ref="D87:G87"/>
    <mergeCell ref="H87:J87"/>
    <mergeCell ref="K87:L87"/>
    <mergeCell ref="A88:C88"/>
    <mergeCell ref="D88:G88"/>
    <mergeCell ref="H88:J88"/>
    <mergeCell ref="K88:L88"/>
    <mergeCell ref="A85:C85"/>
    <mergeCell ref="D85:G85"/>
    <mergeCell ref="H85:J85"/>
    <mergeCell ref="K85:L85"/>
    <mergeCell ref="A86:B86"/>
    <mergeCell ref="D86:G86"/>
    <mergeCell ref="H86:J86"/>
    <mergeCell ref="K86:L86"/>
    <mergeCell ref="D91:G91"/>
    <mergeCell ref="H91:J91"/>
    <mergeCell ref="K91:L91"/>
    <mergeCell ref="H92:J92"/>
    <mergeCell ref="K92:L92"/>
    <mergeCell ref="B94:C94"/>
    <mergeCell ref="D94:H94"/>
    <mergeCell ref="I94:N94"/>
    <mergeCell ref="A89:C89"/>
    <mergeCell ref="D89:G89"/>
    <mergeCell ref="H89:J89"/>
    <mergeCell ref="K89:L89"/>
    <mergeCell ref="D90:G90"/>
    <mergeCell ref="H90:J90"/>
    <mergeCell ref="K90:L90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B106:N106"/>
    <mergeCell ref="B107:C107"/>
    <mergeCell ref="F107:G107"/>
    <mergeCell ref="H107:N107"/>
    <mergeCell ref="B108:C108"/>
    <mergeCell ref="H108:N108"/>
    <mergeCell ref="E101:N101"/>
    <mergeCell ref="D103:J103"/>
    <mergeCell ref="K103:N103"/>
    <mergeCell ref="F108:G108"/>
    <mergeCell ref="B112:C112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H112:N112"/>
    <mergeCell ref="H113:N113"/>
    <mergeCell ref="H114:N114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F129:N131"/>
    <mergeCell ref="A128:F128"/>
    <mergeCell ref="D129:E131"/>
    <mergeCell ref="B30:C30"/>
    <mergeCell ref="D30:H30"/>
    <mergeCell ref="I30:N30"/>
    <mergeCell ref="F32:N34"/>
    <mergeCell ref="B62:C62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695325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742950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723900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723900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723900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723900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695325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742950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723900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723900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723900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695325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695325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742950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723900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723900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723900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723900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695325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695325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771525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552450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695325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742950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723900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723900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723900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723900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123825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619125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FE2AEA-2C49-4328-A3B7-FAFC0B2C18AE}">
          <x14:formula1>
            <xm:f>List!$A$1:$A$2</xm:f>
          </x14:formula1>
          <xm:sqref>B20 B96:B98 B52 B84 B32:B34 B64:B66 B117 B129:B131</xm:sqref>
        </x14:dataValidation>
        <x14:dataValidation type="list" allowBlank="1" showInputMessage="1" showErrorMessage="1" xr:uid="{485ED160-D3B6-4A6D-BB3C-DE88C56372DE}">
          <x14:formula1>
            <xm:f>List!$C$1:$C$3</xm:f>
          </x14:formula1>
          <xm:sqref>B4 B37 B69 B102</xm:sqref>
        </x14:dataValidation>
        <x14:dataValidation type="list" allowBlank="1" showInputMessage="1" showErrorMessage="1" xr:uid="{EAE4927C-E63D-41B9-BA16-0778657CB4FB}">
          <x14:formula1>
            <xm:f>List!$E$1:$E$7</xm:f>
          </x14:formula1>
          <xm:sqref>B5 B38 B70 B103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05FF-0EF3-4DB5-9B1C-B02A8D778AA5}">
  <sheetPr codeName="Sheet5"/>
  <dimension ref="A1:S153"/>
  <sheetViews>
    <sheetView topLeftCell="A7" zoomScaleNormal="100" workbookViewId="0">
      <selection activeCell="N24" sqref="N24"/>
    </sheetView>
  </sheetViews>
  <sheetFormatPr defaultColWidth="9.140625"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7.14062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3" style="20" customWidth="1"/>
    <col min="15" max="16384" width="9.140625" style="20"/>
  </cols>
  <sheetData>
    <row r="1" spans="1:14" ht="30" customHeight="1" thickTop="1" thickBot="1">
      <c r="A1" s="191" t="s">
        <v>2886</v>
      </c>
      <c r="B1" s="246">
        <f>Hydrological!B1</f>
        <v>6</v>
      </c>
      <c r="C1" s="318" t="s">
        <v>2879</v>
      </c>
      <c r="D1" s="319"/>
      <c r="E1" s="307" t="str">
        <f>Hydrological!G1</f>
        <v>Bull Creek North</v>
      </c>
      <c r="F1" s="307"/>
      <c r="G1" s="307"/>
      <c r="H1" s="307"/>
      <c r="I1" s="307"/>
      <c r="J1" s="307"/>
      <c r="K1" s="307"/>
      <c r="L1" s="307"/>
      <c r="M1" s="307"/>
      <c r="N1" s="308"/>
    </row>
    <row r="2" spans="1:14" ht="64.5" customHeight="1" thickTop="1" thickBot="1">
      <c r="A2" s="409" t="s">
        <v>2880</v>
      </c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</row>
    <row r="3" spans="1:14" ht="16.5" thickTop="1" thickBot="1">
      <c r="A3" s="190" t="s">
        <v>5</v>
      </c>
      <c r="B3" s="157">
        <v>42342</v>
      </c>
      <c r="C3" s="204"/>
      <c r="D3" s="165" t="s">
        <v>2857</v>
      </c>
      <c r="E3" s="423" t="s">
        <v>3008</v>
      </c>
      <c r="F3" s="341"/>
      <c r="G3" s="341"/>
      <c r="H3" s="341"/>
      <c r="I3" s="341"/>
      <c r="J3" s="341"/>
      <c r="K3" s="341"/>
      <c r="L3" s="341"/>
      <c r="M3" s="341"/>
      <c r="N3" s="342"/>
    </row>
    <row r="4" spans="1:14" ht="16.5" thickTop="1" thickBot="1">
      <c r="A4" s="167" t="s">
        <v>10</v>
      </c>
      <c r="B4" s="56">
        <v>3</v>
      </c>
      <c r="C4" s="11" t="s">
        <v>15</v>
      </c>
      <c r="D4" s="54"/>
      <c r="E4" s="53"/>
      <c r="F4" s="53"/>
      <c r="G4" s="53"/>
      <c r="H4" s="53"/>
      <c r="I4" s="53"/>
      <c r="J4" s="53"/>
      <c r="K4" s="53"/>
      <c r="L4" s="53"/>
      <c r="M4" s="53"/>
      <c r="N4" s="55"/>
    </row>
    <row r="5" spans="1:14" ht="16.5" thickTop="1" thickBot="1">
      <c r="A5" s="196" t="s">
        <v>2926</v>
      </c>
      <c r="B5" s="123" t="s">
        <v>2898</v>
      </c>
      <c r="C5" s="124" t="s">
        <v>15</v>
      </c>
      <c r="D5" s="343" t="s">
        <v>2931</v>
      </c>
      <c r="E5" s="344"/>
      <c r="F5" s="344"/>
      <c r="G5" s="344"/>
      <c r="H5" s="344"/>
      <c r="I5" s="344"/>
      <c r="J5" s="345"/>
      <c r="K5" s="227"/>
      <c r="L5" s="192" t="s">
        <v>3</v>
      </c>
      <c r="M5" s="192"/>
      <c r="N5" s="193"/>
    </row>
    <row r="6" spans="1:14" s="2" customFormat="1" ht="14.25" customHeight="1" thickTop="1">
      <c r="A6" s="327" t="s">
        <v>2878</v>
      </c>
      <c r="B6" s="349"/>
      <c r="C6" s="197"/>
      <c r="D6" s="195" t="s">
        <v>2887</v>
      </c>
      <c r="E6" s="351">
        <v>28.10745</v>
      </c>
      <c r="F6" s="352"/>
      <c r="G6" s="352"/>
      <c r="H6" s="352"/>
      <c r="I6" s="353"/>
      <c r="J6" s="354" t="s">
        <v>6</v>
      </c>
      <c r="K6" s="356">
        <v>59.01</v>
      </c>
      <c r="L6" s="357"/>
      <c r="M6" s="357"/>
      <c r="N6" s="358"/>
    </row>
    <row r="7" spans="1:14" s="2" customFormat="1" ht="15.75" thickBot="1">
      <c r="A7" s="328"/>
      <c r="B7" s="350"/>
      <c r="C7" s="267"/>
      <c r="D7" s="268" t="s">
        <v>2888</v>
      </c>
      <c r="E7" s="434">
        <v>80.97838333</v>
      </c>
      <c r="F7" s="435"/>
      <c r="G7" s="435"/>
      <c r="H7" s="435"/>
      <c r="I7" s="436"/>
      <c r="J7" s="355"/>
      <c r="K7" s="359"/>
      <c r="L7" s="360"/>
      <c r="M7" s="360"/>
      <c r="N7" s="361"/>
    </row>
    <row r="8" spans="1:14" s="2" customFormat="1" ht="37.5" customHeight="1" thickTop="1" thickBot="1">
      <c r="A8" s="254" t="s">
        <v>2900</v>
      </c>
      <c r="B8" s="371" t="s">
        <v>3021</v>
      </c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3"/>
    </row>
    <row r="9" spans="1:14" s="2" customFormat="1" ht="16.5" thickTop="1" thickBot="1">
      <c r="A9" s="411" t="s">
        <v>16</v>
      </c>
      <c r="B9" s="412"/>
      <c r="C9" s="412"/>
      <c r="D9" s="412"/>
      <c r="E9" s="412"/>
      <c r="F9" s="412"/>
      <c r="G9" s="413"/>
      <c r="H9" s="420" t="s">
        <v>2961</v>
      </c>
      <c r="I9" s="421"/>
      <c r="J9" s="421"/>
      <c r="K9" s="421"/>
      <c r="L9" s="421"/>
      <c r="M9" s="421"/>
      <c r="N9" s="422"/>
    </row>
    <row r="10" spans="1:14" ht="45.75" customHeight="1" thickTop="1">
      <c r="A10" s="162" t="s">
        <v>2874</v>
      </c>
      <c r="B10" s="424" t="s">
        <v>17</v>
      </c>
      <c r="C10" s="424"/>
      <c r="D10" s="237" t="s">
        <v>18</v>
      </c>
      <c r="E10" s="77" t="s">
        <v>2896</v>
      </c>
      <c r="F10" s="392" t="s">
        <v>2875</v>
      </c>
      <c r="G10" s="393"/>
      <c r="H10" s="416" t="s">
        <v>19</v>
      </c>
      <c r="I10" s="416"/>
      <c r="J10" s="416"/>
      <c r="K10" s="416"/>
      <c r="L10" s="416"/>
      <c r="M10" s="416"/>
      <c r="N10" s="417"/>
    </row>
    <row r="11" spans="1:14">
      <c r="A11" s="158" t="s">
        <v>2972</v>
      </c>
      <c r="B11" s="369" t="s">
        <v>3010</v>
      </c>
      <c r="C11" s="370"/>
      <c r="D11" s="228" t="s">
        <v>3013</v>
      </c>
      <c r="E11" s="228"/>
      <c r="F11" s="369" t="s">
        <v>3002</v>
      </c>
      <c r="G11" s="370"/>
      <c r="H11" s="418" t="s">
        <v>3014</v>
      </c>
      <c r="I11" s="418"/>
      <c r="J11" s="418"/>
      <c r="K11" s="418"/>
      <c r="L11" s="418"/>
      <c r="M11" s="418"/>
      <c r="N11" s="419"/>
    </row>
    <row r="12" spans="1:14">
      <c r="A12" s="158" t="s">
        <v>3009</v>
      </c>
      <c r="B12" s="369" t="s">
        <v>3011</v>
      </c>
      <c r="C12" s="370"/>
      <c r="D12" s="228" t="s">
        <v>3013</v>
      </c>
      <c r="E12" s="228"/>
      <c r="F12" s="369" t="s">
        <v>2955</v>
      </c>
      <c r="G12" s="370"/>
      <c r="H12" s="414" t="s">
        <v>3015</v>
      </c>
      <c r="I12" s="285"/>
      <c r="J12" s="285"/>
      <c r="K12" s="285"/>
      <c r="L12" s="285"/>
      <c r="M12" s="285"/>
      <c r="N12" s="286"/>
    </row>
    <row r="13" spans="1:14">
      <c r="A13" s="158" t="s">
        <v>3009</v>
      </c>
      <c r="B13" s="369" t="s">
        <v>3012</v>
      </c>
      <c r="C13" s="370"/>
      <c r="D13" s="228" t="s">
        <v>3013</v>
      </c>
      <c r="E13" s="228"/>
      <c r="F13" s="369" t="s">
        <v>2955</v>
      </c>
      <c r="G13" s="370"/>
      <c r="H13" s="414" t="s">
        <v>3016</v>
      </c>
      <c r="I13" s="285"/>
      <c r="J13" s="285"/>
      <c r="K13" s="285"/>
      <c r="L13" s="285"/>
      <c r="M13" s="285"/>
      <c r="N13" s="286"/>
    </row>
    <row r="14" spans="1:14">
      <c r="A14" s="158"/>
      <c r="B14" s="369"/>
      <c r="C14" s="370"/>
      <c r="D14" s="228"/>
      <c r="E14" s="228"/>
      <c r="F14" s="369"/>
      <c r="G14" s="370"/>
      <c r="H14" s="334"/>
      <c r="I14" s="334"/>
      <c r="J14" s="334"/>
      <c r="K14" s="334"/>
      <c r="L14" s="334"/>
      <c r="M14" s="334"/>
      <c r="N14" s="335"/>
    </row>
    <row r="15" spans="1:14">
      <c r="A15" s="158"/>
      <c r="B15" s="369"/>
      <c r="C15" s="370"/>
      <c r="D15" s="228"/>
      <c r="E15" s="228"/>
      <c r="F15" s="369"/>
      <c r="G15" s="370"/>
      <c r="H15" s="334"/>
      <c r="I15" s="334"/>
      <c r="J15" s="334"/>
      <c r="K15" s="334"/>
      <c r="L15" s="334"/>
      <c r="M15" s="334"/>
      <c r="N15" s="335"/>
    </row>
    <row r="16" spans="1:14">
      <c r="A16" s="160"/>
      <c r="B16" s="369"/>
      <c r="C16" s="370"/>
      <c r="D16" s="161"/>
      <c r="E16" s="161"/>
      <c r="F16" s="369"/>
      <c r="G16" s="370"/>
      <c r="H16" s="334"/>
      <c r="I16" s="334"/>
      <c r="J16" s="334"/>
      <c r="K16" s="334"/>
      <c r="L16" s="334"/>
      <c r="M16" s="334"/>
      <c r="N16" s="335"/>
    </row>
    <row r="17" spans="1:19">
      <c r="A17" s="160"/>
      <c r="B17" s="369"/>
      <c r="C17" s="370"/>
      <c r="D17" s="161"/>
      <c r="E17" s="161"/>
      <c r="F17" s="369"/>
      <c r="G17" s="370"/>
      <c r="H17" s="334"/>
      <c r="I17" s="334"/>
      <c r="J17" s="334"/>
      <c r="K17" s="334"/>
      <c r="L17" s="334"/>
      <c r="M17" s="334"/>
      <c r="N17" s="335"/>
    </row>
    <row r="18" spans="1:19">
      <c r="A18" s="160"/>
      <c r="B18" s="369"/>
      <c r="C18" s="370"/>
      <c r="D18" s="161"/>
      <c r="E18" s="161"/>
      <c r="F18" s="369"/>
      <c r="G18" s="370"/>
      <c r="H18" s="334"/>
      <c r="I18" s="334"/>
      <c r="J18" s="334"/>
      <c r="K18" s="334"/>
      <c r="L18" s="334"/>
      <c r="M18" s="334"/>
      <c r="N18" s="335"/>
    </row>
    <row r="19" spans="1:19" ht="15.75" thickBot="1">
      <c r="A19" s="160"/>
      <c r="B19" s="390"/>
      <c r="C19" s="391"/>
      <c r="D19" s="161"/>
      <c r="E19" s="161"/>
      <c r="F19" s="369"/>
      <c r="G19" s="370"/>
      <c r="H19" s="334"/>
      <c r="I19" s="334"/>
      <c r="J19" s="334"/>
      <c r="K19" s="334"/>
      <c r="L19" s="334"/>
      <c r="M19" s="334"/>
      <c r="N19" s="335"/>
    </row>
    <row r="20" spans="1:19" ht="16.5" thickTop="1" thickBot="1">
      <c r="A20" s="59" t="s">
        <v>20</v>
      </c>
      <c r="B20" s="60" t="s">
        <v>31</v>
      </c>
      <c r="C20" s="11" t="s">
        <v>15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/>
      <c r="Q20" s="2"/>
    </row>
    <row r="21" spans="1:19" ht="45.75" thickTop="1">
      <c r="A21" s="397" t="s">
        <v>22</v>
      </c>
      <c r="B21" s="398"/>
      <c r="C21" s="393"/>
      <c r="D21" s="415" t="s">
        <v>21</v>
      </c>
      <c r="E21" s="415"/>
      <c r="F21" s="415"/>
      <c r="G21" s="415"/>
      <c r="H21" s="415" t="s">
        <v>23</v>
      </c>
      <c r="I21" s="415"/>
      <c r="J21" s="415"/>
      <c r="K21" s="415" t="s">
        <v>24</v>
      </c>
      <c r="L21" s="415"/>
      <c r="M21" s="38" t="s">
        <v>25</v>
      </c>
      <c r="N21" s="39" t="s">
        <v>26</v>
      </c>
    </row>
    <row r="22" spans="1:19">
      <c r="A22" s="367"/>
      <c r="B22" s="368"/>
      <c r="C22" s="45"/>
      <c r="D22" s="399"/>
      <c r="E22" s="399"/>
      <c r="F22" s="364"/>
      <c r="G22" s="364"/>
      <c r="H22" s="399"/>
      <c r="I22" s="399"/>
      <c r="J22" s="399"/>
      <c r="K22" s="400" t="s">
        <v>2981</v>
      </c>
      <c r="L22" s="400"/>
      <c r="M22" s="229">
        <v>0</v>
      </c>
      <c r="N22" s="183">
        <v>1.5</v>
      </c>
    </row>
    <row r="23" spans="1:19">
      <c r="A23" s="367"/>
      <c r="B23" s="368"/>
      <c r="C23" s="45"/>
      <c r="D23" s="399"/>
      <c r="E23" s="399"/>
      <c r="F23" s="399"/>
      <c r="G23" s="399"/>
      <c r="H23" s="399"/>
      <c r="I23" s="399"/>
      <c r="J23" s="399"/>
      <c r="K23" s="400" t="s">
        <v>2969</v>
      </c>
      <c r="L23" s="400"/>
      <c r="M23" s="230">
        <v>1.5</v>
      </c>
      <c r="N23" s="183">
        <v>5</v>
      </c>
    </row>
    <row r="24" spans="1:19">
      <c r="A24" s="367"/>
      <c r="B24" s="368"/>
      <c r="C24" s="363"/>
      <c r="D24" s="364"/>
      <c r="E24" s="365"/>
      <c r="F24" s="365"/>
      <c r="G24" s="366"/>
      <c r="H24" s="364"/>
      <c r="I24" s="365"/>
      <c r="J24" s="366"/>
      <c r="K24" s="362" t="s">
        <v>3042</v>
      </c>
      <c r="L24" s="368"/>
      <c r="M24" s="42">
        <v>0</v>
      </c>
      <c r="N24" s="239">
        <v>1.5</v>
      </c>
    </row>
    <row r="25" spans="1:19">
      <c r="A25" s="367"/>
      <c r="B25" s="368"/>
      <c r="C25" s="363"/>
      <c r="D25" s="364"/>
      <c r="E25" s="365"/>
      <c r="F25" s="365"/>
      <c r="G25" s="366"/>
      <c r="H25" s="364"/>
      <c r="I25" s="365"/>
      <c r="J25" s="366"/>
      <c r="K25" s="362"/>
      <c r="L25" s="363"/>
      <c r="M25" s="233"/>
      <c r="N25" s="183"/>
    </row>
    <row r="26" spans="1:19">
      <c r="A26" s="135"/>
      <c r="B26" s="136"/>
      <c r="C26" s="32"/>
      <c r="D26" s="399"/>
      <c r="E26" s="399"/>
      <c r="F26" s="399"/>
      <c r="G26" s="399"/>
      <c r="H26" s="399"/>
      <c r="I26" s="399"/>
      <c r="J26" s="399"/>
      <c r="K26" s="400"/>
      <c r="L26" s="400"/>
      <c r="M26" s="229"/>
      <c r="N26" s="183"/>
    </row>
    <row r="27" spans="1:19">
      <c r="A27" s="9"/>
      <c r="B27" s="8"/>
      <c r="C27" s="234"/>
      <c r="D27" s="407"/>
      <c r="E27" s="407"/>
      <c r="F27" s="407"/>
      <c r="G27" s="407"/>
      <c r="H27" s="399"/>
      <c r="I27" s="399"/>
      <c r="J27" s="399"/>
      <c r="K27" s="400"/>
      <c r="L27" s="400"/>
      <c r="M27" s="229"/>
      <c r="N27" s="183"/>
      <c r="S27" s="12"/>
    </row>
    <row r="28" spans="1:19">
      <c r="A28" s="9"/>
      <c r="B28" s="8"/>
      <c r="C28" s="8"/>
      <c r="D28" s="231"/>
      <c r="E28" s="231"/>
      <c r="F28" s="231"/>
      <c r="G28" s="232"/>
      <c r="H28" s="362"/>
      <c r="I28" s="368"/>
      <c r="J28" s="363"/>
      <c r="K28" s="362"/>
      <c r="L28" s="363"/>
      <c r="M28" s="230"/>
      <c r="N28" s="43"/>
    </row>
    <row r="29" spans="1:19">
      <c r="A29" s="9"/>
      <c r="B29" s="8"/>
      <c r="C29" s="8"/>
      <c r="D29" s="231"/>
      <c r="E29" s="231"/>
      <c r="F29" s="231"/>
      <c r="G29" s="232"/>
      <c r="H29" s="362"/>
      <c r="I29" s="368"/>
      <c r="J29" s="363"/>
      <c r="K29" s="86"/>
      <c r="L29" s="102"/>
      <c r="M29" s="230"/>
      <c r="N29" s="43"/>
    </row>
    <row r="30" spans="1:19">
      <c r="A30" s="44" t="s">
        <v>28</v>
      </c>
      <c r="B30" s="76">
        <v>14</v>
      </c>
      <c r="C30" s="438" t="s">
        <v>2876</v>
      </c>
      <c r="D30" s="438"/>
      <c r="E30" s="438"/>
      <c r="F30" s="438"/>
      <c r="G30" s="438"/>
      <c r="H30" s="438"/>
      <c r="I30" s="439"/>
      <c r="J30" s="378" t="s">
        <v>2970</v>
      </c>
      <c r="K30" s="379"/>
      <c r="L30" s="379"/>
      <c r="M30" s="379"/>
      <c r="N30" s="380"/>
    </row>
    <row r="31" spans="1:19" ht="15.75" customHeight="1">
      <c r="A31" s="440" t="s">
        <v>27</v>
      </c>
      <c r="B31" s="441"/>
      <c r="C31" s="441"/>
      <c r="D31" s="441"/>
      <c r="E31" s="441"/>
      <c r="F31" s="442"/>
      <c r="G31" s="202"/>
      <c r="H31" s="238"/>
      <c r="I31" s="172"/>
      <c r="J31" s="172"/>
      <c r="K31" s="172"/>
      <c r="L31" s="172"/>
      <c r="M31" s="172"/>
      <c r="N31" s="173"/>
    </row>
    <row r="32" spans="1:19" ht="15.75" thickBot="1">
      <c r="A32" s="199" t="s">
        <v>29</v>
      </c>
      <c r="B32" s="200" t="s">
        <v>31</v>
      </c>
      <c r="C32" s="201" t="s">
        <v>15</v>
      </c>
      <c r="D32" s="381" t="s">
        <v>2905</v>
      </c>
      <c r="E32" s="394"/>
      <c r="F32" s="381"/>
      <c r="G32" s="382"/>
      <c r="H32" s="382"/>
      <c r="I32" s="382"/>
      <c r="J32" s="382"/>
      <c r="K32" s="382"/>
      <c r="L32" s="382"/>
      <c r="M32" s="382"/>
      <c r="N32" s="383"/>
    </row>
    <row r="33" spans="1:15" ht="16.5" thickTop="1" thickBot="1">
      <c r="A33" s="25" t="s">
        <v>30</v>
      </c>
      <c r="B33" s="61" t="s">
        <v>31</v>
      </c>
      <c r="C33" s="11" t="s">
        <v>15</v>
      </c>
      <c r="D33" s="384"/>
      <c r="E33" s="395"/>
      <c r="F33" s="384"/>
      <c r="G33" s="385"/>
      <c r="H33" s="385"/>
      <c r="I33" s="385"/>
      <c r="J33" s="385"/>
      <c r="K33" s="385"/>
      <c r="L33" s="385"/>
      <c r="M33" s="385"/>
      <c r="N33" s="386"/>
    </row>
    <row r="34" spans="1:15" ht="16.5" thickTop="1" thickBot="1">
      <c r="A34" s="26" t="s">
        <v>2877</v>
      </c>
      <c r="B34" s="61" t="s">
        <v>31</v>
      </c>
      <c r="C34" s="11" t="s">
        <v>15</v>
      </c>
      <c r="D34" s="387"/>
      <c r="E34" s="396"/>
      <c r="F34" s="387"/>
      <c r="G34" s="388"/>
      <c r="H34" s="388"/>
      <c r="I34" s="388"/>
      <c r="J34" s="388"/>
      <c r="K34" s="388"/>
      <c r="L34" s="388"/>
      <c r="M34" s="388"/>
      <c r="N34" s="389"/>
    </row>
    <row r="35" spans="1:15" ht="66" customHeight="1" thickTop="1" thickBot="1">
      <c r="A35" s="321" t="s">
        <v>2881</v>
      </c>
      <c r="B35" s="322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4"/>
    </row>
    <row r="36" spans="1:15" ht="16.5" thickTop="1" thickBot="1">
      <c r="A36" s="165" t="s">
        <v>5</v>
      </c>
      <c r="B36" s="78"/>
      <c r="C36" s="204"/>
      <c r="D36" s="165" t="s">
        <v>2857</v>
      </c>
      <c r="E36" s="423"/>
      <c r="F36" s="341"/>
      <c r="G36" s="341"/>
      <c r="H36" s="341"/>
      <c r="I36" s="341"/>
      <c r="J36" s="341"/>
      <c r="K36" s="341"/>
      <c r="L36" s="341"/>
      <c r="M36" s="341"/>
      <c r="N36" s="342"/>
    </row>
    <row r="37" spans="1:15" ht="16.5" thickTop="1" thickBot="1">
      <c r="A37" s="167" t="s">
        <v>10</v>
      </c>
      <c r="B37" s="56"/>
      <c r="C37" s="11" t="s">
        <v>15</v>
      </c>
      <c r="D37" s="54"/>
      <c r="E37" s="53"/>
      <c r="F37" s="53"/>
      <c r="G37" s="53"/>
      <c r="H37" s="53"/>
      <c r="I37" s="53"/>
      <c r="J37" s="53"/>
      <c r="K37" s="53"/>
      <c r="L37" s="53"/>
      <c r="M37" s="53"/>
      <c r="N37" s="55"/>
    </row>
    <row r="38" spans="1:15" ht="16.5" thickTop="1" thickBot="1">
      <c r="A38" s="165" t="s">
        <v>2927</v>
      </c>
      <c r="B38" s="10"/>
      <c r="C38" s="11" t="s">
        <v>15</v>
      </c>
      <c r="D38" s="343" t="s">
        <v>2931</v>
      </c>
      <c r="E38" s="344"/>
      <c r="F38" s="344"/>
      <c r="G38" s="344"/>
      <c r="H38" s="344"/>
      <c r="I38" s="344"/>
      <c r="J38" s="345"/>
      <c r="K38" s="346" t="s">
        <v>3</v>
      </c>
      <c r="L38" s="347"/>
      <c r="M38" s="347"/>
      <c r="N38" s="348"/>
    </row>
    <row r="39" spans="1:15" ht="15.75" thickTop="1">
      <c r="A39" s="327" t="s">
        <v>2878</v>
      </c>
      <c r="B39" s="349"/>
      <c r="C39" s="197"/>
      <c r="D39" s="195" t="s">
        <v>2887</v>
      </c>
      <c r="E39" s="351"/>
      <c r="F39" s="352"/>
      <c r="G39" s="352"/>
      <c r="H39" s="352"/>
      <c r="I39" s="353"/>
      <c r="J39" s="354" t="s">
        <v>6</v>
      </c>
      <c r="K39" s="356"/>
      <c r="L39" s="357"/>
      <c r="M39" s="357"/>
      <c r="N39" s="358"/>
    </row>
    <row r="40" spans="1:15" ht="15.75" thickBot="1">
      <c r="A40" s="328"/>
      <c r="B40" s="350"/>
      <c r="C40" s="267"/>
      <c r="D40" s="268" t="s">
        <v>2888</v>
      </c>
      <c r="E40" s="434"/>
      <c r="F40" s="435"/>
      <c r="G40" s="435"/>
      <c r="H40" s="435"/>
      <c r="I40" s="436"/>
      <c r="J40" s="355"/>
      <c r="K40" s="359"/>
      <c r="L40" s="360"/>
      <c r="M40" s="360"/>
      <c r="N40" s="361"/>
    </row>
    <row r="41" spans="1:15" ht="37.5" customHeight="1" thickTop="1" thickBot="1">
      <c r="A41" s="254" t="s">
        <v>2900</v>
      </c>
      <c r="B41" s="371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3"/>
    </row>
    <row r="42" spans="1:15" ht="45.75" thickTop="1">
      <c r="A42" s="162" t="s">
        <v>2874</v>
      </c>
      <c r="B42" s="424" t="s">
        <v>17</v>
      </c>
      <c r="C42" s="424"/>
      <c r="D42" s="237" t="s">
        <v>18</v>
      </c>
      <c r="E42" s="77" t="s">
        <v>2896</v>
      </c>
      <c r="F42" s="392" t="s">
        <v>2875</v>
      </c>
      <c r="G42" s="393"/>
      <c r="H42" s="415" t="s">
        <v>19</v>
      </c>
      <c r="I42" s="415"/>
      <c r="J42" s="415"/>
      <c r="K42" s="415"/>
      <c r="L42" s="415"/>
      <c r="M42" s="415"/>
      <c r="N42" s="427"/>
      <c r="O42" s="2"/>
    </row>
    <row r="43" spans="1:15">
      <c r="A43" s="158"/>
      <c r="B43" s="369"/>
      <c r="C43" s="370"/>
      <c r="D43" s="228"/>
      <c r="E43" s="228"/>
      <c r="F43" s="369"/>
      <c r="G43" s="370"/>
      <c r="H43" s="336"/>
      <c r="I43" s="336"/>
      <c r="J43" s="336"/>
      <c r="K43" s="336"/>
      <c r="L43" s="336"/>
      <c r="M43" s="336"/>
      <c r="N43" s="337"/>
    </row>
    <row r="44" spans="1:15">
      <c r="A44" s="158"/>
      <c r="B44" s="369"/>
      <c r="C44" s="370"/>
      <c r="D44" s="228"/>
      <c r="E44" s="228"/>
      <c r="F44" s="369"/>
      <c r="G44" s="370"/>
      <c r="H44" s="336"/>
      <c r="I44" s="336"/>
      <c r="J44" s="336"/>
      <c r="K44" s="336"/>
      <c r="L44" s="336"/>
      <c r="M44" s="336"/>
      <c r="N44" s="337"/>
    </row>
    <row r="45" spans="1:15">
      <c r="A45" s="158"/>
      <c r="B45" s="369"/>
      <c r="C45" s="370"/>
      <c r="D45" s="228"/>
      <c r="E45" s="228"/>
      <c r="F45" s="369"/>
      <c r="G45" s="370"/>
      <c r="H45" s="336"/>
      <c r="I45" s="336"/>
      <c r="J45" s="336"/>
      <c r="K45" s="336"/>
      <c r="L45" s="336"/>
      <c r="M45" s="336"/>
      <c r="N45" s="337"/>
    </row>
    <row r="46" spans="1:15">
      <c r="A46" s="158"/>
      <c r="B46" s="369"/>
      <c r="C46" s="370"/>
      <c r="D46" s="228"/>
      <c r="E46" s="228"/>
      <c r="F46" s="369"/>
      <c r="G46" s="370"/>
      <c r="H46" s="336"/>
      <c r="I46" s="336"/>
      <c r="J46" s="336"/>
      <c r="K46" s="336"/>
      <c r="L46" s="336"/>
      <c r="M46" s="336"/>
      <c r="N46" s="337"/>
    </row>
    <row r="47" spans="1:15">
      <c r="A47" s="158"/>
      <c r="B47" s="369"/>
      <c r="C47" s="370"/>
      <c r="D47" s="228"/>
      <c r="E47" s="228"/>
      <c r="F47" s="369"/>
      <c r="G47" s="370"/>
      <c r="H47" s="336"/>
      <c r="I47" s="336"/>
      <c r="J47" s="336"/>
      <c r="K47" s="336"/>
      <c r="L47" s="336"/>
      <c r="M47" s="336"/>
      <c r="N47" s="337"/>
    </row>
    <row r="48" spans="1:15">
      <c r="A48" s="158"/>
      <c r="B48" s="369"/>
      <c r="C48" s="370"/>
      <c r="D48" s="228"/>
      <c r="E48" s="228"/>
      <c r="F48" s="369"/>
      <c r="G48" s="370"/>
      <c r="H48" s="336"/>
      <c r="I48" s="336"/>
      <c r="J48" s="336"/>
      <c r="K48" s="336"/>
      <c r="L48" s="336"/>
      <c r="M48" s="336"/>
      <c r="N48" s="337"/>
    </row>
    <row r="49" spans="1:14">
      <c r="A49" s="158"/>
      <c r="B49" s="369"/>
      <c r="C49" s="370"/>
      <c r="D49" s="228"/>
      <c r="E49" s="228"/>
      <c r="F49" s="369"/>
      <c r="G49" s="370"/>
      <c r="H49" s="336"/>
      <c r="I49" s="336"/>
      <c r="J49" s="336"/>
      <c r="K49" s="336"/>
      <c r="L49" s="336"/>
      <c r="M49" s="336"/>
      <c r="N49" s="337"/>
    </row>
    <row r="50" spans="1:14">
      <c r="A50" s="158"/>
      <c r="B50" s="369"/>
      <c r="C50" s="370"/>
      <c r="D50" s="228"/>
      <c r="E50" s="228"/>
      <c r="F50" s="369"/>
      <c r="G50" s="370"/>
      <c r="H50" s="336"/>
      <c r="I50" s="336"/>
      <c r="J50" s="336"/>
      <c r="K50" s="336"/>
      <c r="L50" s="336"/>
      <c r="M50" s="336"/>
      <c r="N50" s="337"/>
    </row>
    <row r="51" spans="1:14" ht="15.75" thickBot="1">
      <c r="A51" s="160"/>
      <c r="B51" s="425"/>
      <c r="C51" s="426"/>
      <c r="D51" s="161"/>
      <c r="E51" s="161"/>
      <c r="F51" s="369"/>
      <c r="G51" s="370"/>
      <c r="H51" s="336"/>
      <c r="I51" s="336"/>
      <c r="J51" s="336"/>
      <c r="K51" s="336"/>
      <c r="L51" s="336"/>
      <c r="M51" s="336"/>
      <c r="N51" s="337"/>
    </row>
    <row r="52" spans="1:14" ht="16.5" thickTop="1" thickBot="1">
      <c r="A52" s="59" t="s">
        <v>20</v>
      </c>
      <c r="B52" s="60"/>
      <c r="C52" s="11" t="s">
        <v>15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8"/>
    </row>
    <row r="53" spans="1:14" ht="45.75" thickTop="1">
      <c r="A53" s="397" t="s">
        <v>22</v>
      </c>
      <c r="B53" s="398"/>
      <c r="C53" s="393"/>
      <c r="D53" s="415" t="s">
        <v>21</v>
      </c>
      <c r="E53" s="415"/>
      <c r="F53" s="415"/>
      <c r="G53" s="415"/>
      <c r="H53" s="415" t="s">
        <v>23</v>
      </c>
      <c r="I53" s="415"/>
      <c r="J53" s="415"/>
      <c r="K53" s="415" t="s">
        <v>24</v>
      </c>
      <c r="L53" s="415"/>
      <c r="M53" s="38" t="s">
        <v>25</v>
      </c>
      <c r="N53" s="39" t="s">
        <v>26</v>
      </c>
    </row>
    <row r="54" spans="1:14">
      <c r="A54" s="367"/>
      <c r="B54" s="368"/>
      <c r="C54" s="45"/>
      <c r="D54" s="399"/>
      <c r="E54" s="399"/>
      <c r="F54" s="364"/>
      <c r="G54" s="364"/>
      <c r="H54" s="399"/>
      <c r="I54" s="399"/>
      <c r="J54" s="399"/>
      <c r="K54" s="400"/>
      <c r="L54" s="400"/>
      <c r="M54" s="229"/>
      <c r="N54" s="183"/>
    </row>
    <row r="55" spans="1:14">
      <c r="A55" s="367"/>
      <c r="B55" s="368"/>
      <c r="C55" s="45"/>
      <c r="D55" s="399"/>
      <c r="E55" s="399"/>
      <c r="F55" s="399"/>
      <c r="G55" s="399"/>
      <c r="H55" s="399"/>
      <c r="I55" s="399"/>
      <c r="J55" s="399"/>
      <c r="K55" s="400"/>
      <c r="L55" s="400"/>
      <c r="M55" s="230"/>
      <c r="N55" s="183"/>
    </row>
    <row r="56" spans="1:14">
      <c r="A56" s="367"/>
      <c r="B56" s="368"/>
      <c r="C56" s="363"/>
      <c r="D56" s="364"/>
      <c r="E56" s="365"/>
      <c r="F56" s="365"/>
      <c r="G56" s="366"/>
      <c r="H56" s="364"/>
      <c r="I56" s="365"/>
      <c r="J56" s="366"/>
      <c r="K56" s="362"/>
      <c r="L56" s="368"/>
      <c r="M56" s="42"/>
      <c r="N56" s="239"/>
    </row>
    <row r="57" spans="1:14">
      <c r="A57" s="367"/>
      <c r="B57" s="368"/>
      <c r="C57" s="363"/>
      <c r="D57" s="364"/>
      <c r="E57" s="365"/>
      <c r="F57" s="365"/>
      <c r="G57" s="366"/>
      <c r="H57" s="364"/>
      <c r="I57" s="365"/>
      <c r="J57" s="366"/>
      <c r="K57" s="362"/>
      <c r="L57" s="363"/>
      <c r="M57" s="233"/>
      <c r="N57" s="183"/>
    </row>
    <row r="58" spans="1:14">
      <c r="A58" s="31"/>
      <c r="B58" s="32"/>
      <c r="C58" s="32"/>
      <c r="D58" s="399"/>
      <c r="E58" s="399"/>
      <c r="F58" s="399"/>
      <c r="G58" s="399"/>
      <c r="H58" s="399"/>
      <c r="I58" s="399"/>
      <c r="J58" s="399"/>
      <c r="K58" s="400"/>
      <c r="L58" s="400"/>
      <c r="M58" s="229"/>
      <c r="N58" s="183"/>
    </row>
    <row r="59" spans="1:14">
      <c r="A59" s="233"/>
      <c r="B59" s="236"/>
      <c r="C59" s="234"/>
      <c r="D59" s="407"/>
      <c r="E59" s="407"/>
      <c r="F59" s="407"/>
      <c r="G59" s="407"/>
      <c r="H59" s="399"/>
      <c r="I59" s="399"/>
      <c r="J59" s="399"/>
      <c r="K59" s="400"/>
      <c r="L59" s="400"/>
      <c r="M59" s="229"/>
      <c r="N59" s="183"/>
    </row>
    <row r="60" spans="1:14">
      <c r="A60" s="134"/>
      <c r="B60" s="8"/>
      <c r="C60" s="8"/>
      <c r="D60" s="231"/>
      <c r="E60" s="231"/>
      <c r="F60" s="231"/>
      <c r="G60" s="232"/>
      <c r="H60" s="407"/>
      <c r="I60" s="407"/>
      <c r="J60" s="407"/>
      <c r="K60" s="408"/>
      <c r="L60" s="408"/>
      <c r="M60" s="230"/>
      <c r="N60" s="43"/>
    </row>
    <row r="61" spans="1:14">
      <c r="A61" s="235"/>
      <c r="B61" s="236"/>
      <c r="C61" s="236"/>
      <c r="D61" s="236"/>
      <c r="E61" s="236"/>
      <c r="F61" s="236"/>
      <c r="G61" s="234"/>
      <c r="H61" s="236"/>
      <c r="I61" s="236"/>
      <c r="J61" s="236"/>
      <c r="K61" s="233"/>
      <c r="L61" s="236"/>
      <c r="M61" s="229"/>
      <c r="N61" s="239"/>
    </row>
    <row r="62" spans="1:14">
      <c r="A62" s="255" t="s">
        <v>28</v>
      </c>
      <c r="B62" s="376"/>
      <c r="C62" s="377"/>
      <c r="D62" s="374" t="s">
        <v>2876</v>
      </c>
      <c r="E62" s="374"/>
      <c r="F62" s="374"/>
      <c r="G62" s="374"/>
      <c r="H62" s="375"/>
      <c r="I62" s="378"/>
      <c r="J62" s="379"/>
      <c r="K62" s="379"/>
      <c r="L62" s="379"/>
      <c r="M62" s="379"/>
      <c r="N62" s="380"/>
    </row>
    <row r="63" spans="1:14" ht="15.75" customHeight="1">
      <c r="A63" s="401" t="s">
        <v>27</v>
      </c>
      <c r="B63" s="402"/>
      <c r="C63" s="402"/>
      <c r="D63" s="402"/>
      <c r="E63" s="402"/>
      <c r="F63" s="403"/>
      <c r="G63" s="202"/>
      <c r="H63" s="238"/>
      <c r="I63" s="172"/>
      <c r="J63" s="172"/>
      <c r="K63" s="172"/>
      <c r="L63" s="172"/>
      <c r="M63" s="172"/>
      <c r="N63" s="173"/>
    </row>
    <row r="64" spans="1:14" ht="16.5" customHeight="1" thickBot="1">
      <c r="A64" s="256" t="s">
        <v>29</v>
      </c>
      <c r="B64" s="200"/>
      <c r="C64" s="201" t="s">
        <v>15</v>
      </c>
      <c r="D64" s="381" t="s">
        <v>2905</v>
      </c>
      <c r="E64" s="394"/>
      <c r="F64" s="381"/>
      <c r="G64" s="382"/>
      <c r="H64" s="382"/>
      <c r="I64" s="382"/>
      <c r="J64" s="382"/>
      <c r="K64" s="382"/>
      <c r="L64" s="382"/>
      <c r="M64" s="382"/>
      <c r="N64" s="383"/>
    </row>
    <row r="65" spans="1:14" ht="16.5" thickTop="1" thickBot="1">
      <c r="A65" s="257" t="s">
        <v>30</v>
      </c>
      <c r="B65" s="61"/>
      <c r="C65" s="11" t="s">
        <v>15</v>
      </c>
      <c r="D65" s="384"/>
      <c r="E65" s="395"/>
      <c r="F65" s="384"/>
      <c r="G65" s="385"/>
      <c r="H65" s="385"/>
      <c r="I65" s="385"/>
      <c r="J65" s="385"/>
      <c r="K65" s="385"/>
      <c r="L65" s="385"/>
      <c r="M65" s="385"/>
      <c r="N65" s="386"/>
    </row>
    <row r="66" spans="1:14" s="49" customFormat="1" ht="16.5" thickTop="1" thickBot="1">
      <c r="A66" s="258" t="s">
        <v>2877</v>
      </c>
      <c r="B66" s="61"/>
      <c r="C66" s="11" t="s">
        <v>15</v>
      </c>
      <c r="D66" s="387"/>
      <c r="E66" s="396"/>
      <c r="F66" s="387"/>
      <c r="G66" s="388"/>
      <c r="H66" s="388"/>
      <c r="I66" s="388"/>
      <c r="J66" s="388"/>
      <c r="K66" s="388"/>
      <c r="L66" s="388"/>
      <c r="M66" s="388"/>
      <c r="N66" s="389"/>
    </row>
    <row r="67" spans="1:14" ht="66" customHeight="1" thickTop="1" thickBot="1">
      <c r="A67" s="321" t="s">
        <v>2882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4"/>
    </row>
    <row r="68" spans="1:14" ht="16.5" thickTop="1" thickBot="1">
      <c r="A68" s="165" t="s">
        <v>5</v>
      </c>
      <c r="B68" s="78"/>
      <c r="C68" s="203"/>
      <c r="D68" s="165" t="s">
        <v>2857</v>
      </c>
      <c r="E68" s="341"/>
      <c r="F68" s="341"/>
      <c r="G68" s="341"/>
      <c r="H68" s="341"/>
      <c r="I68" s="341"/>
      <c r="J68" s="341"/>
      <c r="K68" s="341"/>
      <c r="L68" s="341"/>
      <c r="M68" s="341"/>
      <c r="N68" s="342"/>
    </row>
    <row r="69" spans="1:14" ht="16.5" thickTop="1" thickBot="1">
      <c r="A69" s="167" t="s">
        <v>10</v>
      </c>
      <c r="B69" s="56"/>
      <c r="C69" s="11" t="s">
        <v>15</v>
      </c>
      <c r="D69" s="54"/>
      <c r="E69" s="53"/>
      <c r="F69" s="53"/>
      <c r="G69" s="53"/>
      <c r="H69" s="53"/>
      <c r="I69" s="53"/>
      <c r="J69" s="53"/>
      <c r="K69" s="53"/>
      <c r="L69" s="53"/>
      <c r="M69" s="53"/>
      <c r="N69" s="55"/>
    </row>
    <row r="70" spans="1:14" ht="16.5" thickTop="1" thickBot="1">
      <c r="A70" s="165" t="s">
        <v>2927</v>
      </c>
      <c r="B70" s="10"/>
      <c r="C70" s="11" t="s">
        <v>15</v>
      </c>
      <c r="D70" s="343" t="s">
        <v>2931</v>
      </c>
      <c r="E70" s="344"/>
      <c r="F70" s="344"/>
      <c r="G70" s="344"/>
      <c r="H70" s="344"/>
      <c r="I70" s="344"/>
      <c r="J70" s="345"/>
      <c r="K70" s="346" t="s">
        <v>3</v>
      </c>
      <c r="L70" s="347"/>
      <c r="M70" s="347"/>
      <c r="N70" s="348"/>
    </row>
    <row r="71" spans="1:14" ht="15.75" thickTop="1">
      <c r="A71" s="327" t="s">
        <v>2878</v>
      </c>
      <c r="B71" s="349"/>
      <c r="C71" s="197"/>
      <c r="D71" s="195" t="s">
        <v>2887</v>
      </c>
      <c r="E71" s="351"/>
      <c r="F71" s="352"/>
      <c r="G71" s="352"/>
      <c r="H71" s="352"/>
      <c r="I71" s="353"/>
      <c r="J71" s="354" t="s">
        <v>6</v>
      </c>
      <c r="K71" s="356"/>
      <c r="L71" s="357"/>
      <c r="M71" s="357"/>
      <c r="N71" s="358"/>
    </row>
    <row r="72" spans="1:14" ht="15.75" thickBot="1">
      <c r="A72" s="328"/>
      <c r="B72" s="350"/>
      <c r="C72" s="267"/>
      <c r="D72" s="268" t="s">
        <v>2888</v>
      </c>
      <c r="E72" s="434"/>
      <c r="F72" s="435"/>
      <c r="G72" s="435"/>
      <c r="H72" s="435"/>
      <c r="I72" s="436"/>
      <c r="J72" s="355"/>
      <c r="K72" s="359"/>
      <c r="L72" s="360"/>
      <c r="M72" s="360"/>
      <c r="N72" s="361"/>
    </row>
    <row r="73" spans="1:14" ht="37.5" customHeight="1" thickTop="1" thickBot="1">
      <c r="A73" s="254" t="s">
        <v>2900</v>
      </c>
      <c r="B73" s="371"/>
      <c r="C73" s="372"/>
      <c r="D73" s="372"/>
      <c r="E73" s="372"/>
      <c r="F73" s="372"/>
      <c r="G73" s="372"/>
      <c r="H73" s="372"/>
      <c r="I73" s="372"/>
      <c r="J73" s="372"/>
      <c r="K73" s="372"/>
      <c r="L73" s="372"/>
      <c r="M73" s="372"/>
      <c r="N73" s="373"/>
    </row>
    <row r="74" spans="1:14" ht="45.75" thickTop="1">
      <c r="A74" s="162" t="s">
        <v>2874</v>
      </c>
      <c r="B74" s="404" t="s">
        <v>17</v>
      </c>
      <c r="C74" s="405"/>
      <c r="D74" s="237" t="s">
        <v>18</v>
      </c>
      <c r="E74" s="77" t="s">
        <v>2896</v>
      </c>
      <c r="F74" s="392" t="s">
        <v>2875</v>
      </c>
      <c r="G74" s="393"/>
      <c r="H74" s="392" t="s">
        <v>19</v>
      </c>
      <c r="I74" s="398"/>
      <c r="J74" s="398"/>
      <c r="K74" s="398"/>
      <c r="L74" s="398"/>
      <c r="M74" s="398"/>
      <c r="N74" s="406"/>
    </row>
    <row r="75" spans="1:14">
      <c r="A75" s="158"/>
      <c r="B75" s="369"/>
      <c r="C75" s="370"/>
      <c r="D75" s="228"/>
      <c r="E75" s="228"/>
      <c r="F75" s="369"/>
      <c r="G75" s="370"/>
      <c r="H75" s="338"/>
      <c r="I75" s="339"/>
      <c r="J75" s="339"/>
      <c r="K75" s="339"/>
      <c r="L75" s="339"/>
      <c r="M75" s="339"/>
      <c r="N75" s="340"/>
    </row>
    <row r="76" spans="1:14">
      <c r="A76" s="158"/>
      <c r="B76" s="369"/>
      <c r="C76" s="370"/>
      <c r="D76" s="228"/>
      <c r="E76" s="228"/>
      <c r="F76" s="369"/>
      <c r="G76" s="370"/>
      <c r="H76" s="338"/>
      <c r="I76" s="339"/>
      <c r="J76" s="339"/>
      <c r="K76" s="339"/>
      <c r="L76" s="339"/>
      <c r="M76" s="339"/>
      <c r="N76" s="340"/>
    </row>
    <row r="77" spans="1:14">
      <c r="A77" s="158"/>
      <c r="B77" s="369"/>
      <c r="C77" s="370"/>
      <c r="D77" s="228"/>
      <c r="E77" s="228"/>
      <c r="F77" s="369"/>
      <c r="G77" s="370"/>
      <c r="H77" s="338"/>
      <c r="I77" s="339"/>
      <c r="J77" s="339"/>
      <c r="K77" s="339"/>
      <c r="L77" s="339"/>
      <c r="M77" s="339"/>
      <c r="N77" s="340"/>
    </row>
    <row r="78" spans="1:14">
      <c r="A78" s="158"/>
      <c r="B78" s="369"/>
      <c r="C78" s="370"/>
      <c r="D78" s="228"/>
      <c r="E78" s="228"/>
      <c r="F78" s="369"/>
      <c r="G78" s="370"/>
      <c r="H78" s="338"/>
      <c r="I78" s="339"/>
      <c r="J78" s="339"/>
      <c r="K78" s="339"/>
      <c r="L78" s="339"/>
      <c r="M78" s="339"/>
      <c r="N78" s="340"/>
    </row>
    <row r="79" spans="1:14">
      <c r="A79" s="158"/>
      <c r="B79" s="369"/>
      <c r="C79" s="370"/>
      <c r="D79" s="228"/>
      <c r="E79" s="228"/>
      <c r="F79" s="369"/>
      <c r="G79" s="370"/>
      <c r="H79" s="338"/>
      <c r="I79" s="339"/>
      <c r="J79" s="339"/>
      <c r="K79" s="339"/>
      <c r="L79" s="339"/>
      <c r="M79" s="339"/>
      <c r="N79" s="340"/>
    </row>
    <row r="80" spans="1:14">
      <c r="A80" s="158"/>
      <c r="B80" s="369"/>
      <c r="C80" s="370"/>
      <c r="D80" s="228"/>
      <c r="E80" s="228"/>
      <c r="F80" s="369"/>
      <c r="G80" s="370"/>
      <c r="H80" s="338"/>
      <c r="I80" s="339"/>
      <c r="J80" s="339"/>
      <c r="K80" s="339"/>
      <c r="L80" s="339"/>
      <c r="M80" s="339"/>
      <c r="N80" s="340"/>
    </row>
    <row r="81" spans="1:14">
      <c r="A81" s="158"/>
      <c r="B81" s="369"/>
      <c r="C81" s="370"/>
      <c r="D81" s="228"/>
      <c r="E81" s="228"/>
      <c r="F81" s="369"/>
      <c r="G81" s="370"/>
      <c r="H81" s="338"/>
      <c r="I81" s="339"/>
      <c r="J81" s="339"/>
      <c r="K81" s="339"/>
      <c r="L81" s="339"/>
      <c r="M81" s="339"/>
      <c r="N81" s="340"/>
    </row>
    <row r="82" spans="1:14">
      <c r="A82" s="158"/>
      <c r="B82" s="369"/>
      <c r="C82" s="370"/>
      <c r="D82" s="228"/>
      <c r="E82" s="228"/>
      <c r="F82" s="369"/>
      <c r="G82" s="370"/>
      <c r="H82" s="338"/>
      <c r="I82" s="339"/>
      <c r="J82" s="339"/>
      <c r="K82" s="339"/>
      <c r="L82" s="339"/>
      <c r="M82" s="339"/>
      <c r="N82" s="340"/>
    </row>
    <row r="83" spans="1:14" ht="15.75" thickBot="1">
      <c r="A83" s="160"/>
      <c r="B83" s="390"/>
      <c r="C83" s="391"/>
      <c r="D83" s="161"/>
      <c r="E83" s="161"/>
      <c r="F83" s="369"/>
      <c r="G83" s="370"/>
      <c r="H83" s="338"/>
      <c r="I83" s="339"/>
      <c r="J83" s="339"/>
      <c r="K83" s="339"/>
      <c r="L83" s="339"/>
      <c r="M83" s="339"/>
      <c r="N83" s="340"/>
    </row>
    <row r="84" spans="1:14" ht="16.5" thickTop="1" thickBot="1">
      <c r="A84" s="59" t="s">
        <v>20</v>
      </c>
      <c r="B84" s="60"/>
      <c r="C84" s="11" t="s">
        <v>15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8"/>
    </row>
    <row r="85" spans="1:14" ht="45.75" thickTop="1">
      <c r="A85" s="397" t="s">
        <v>22</v>
      </c>
      <c r="B85" s="398"/>
      <c r="C85" s="393"/>
      <c r="D85" s="392" t="s">
        <v>21</v>
      </c>
      <c r="E85" s="398"/>
      <c r="F85" s="398"/>
      <c r="G85" s="393"/>
      <c r="H85" s="392" t="s">
        <v>23</v>
      </c>
      <c r="I85" s="398"/>
      <c r="J85" s="393"/>
      <c r="K85" s="392" t="s">
        <v>24</v>
      </c>
      <c r="L85" s="393"/>
      <c r="M85" s="38" t="s">
        <v>25</v>
      </c>
      <c r="N85" s="39" t="s">
        <v>26</v>
      </c>
    </row>
    <row r="86" spans="1:14">
      <c r="A86" s="367"/>
      <c r="B86" s="368"/>
      <c r="C86" s="45"/>
      <c r="D86" s="364"/>
      <c r="E86" s="365"/>
      <c r="F86" s="365"/>
      <c r="G86" s="366"/>
      <c r="H86" s="364"/>
      <c r="I86" s="365"/>
      <c r="J86" s="366"/>
      <c r="K86" s="362"/>
      <c r="L86" s="363"/>
      <c r="M86" s="229"/>
      <c r="N86" s="183"/>
    </row>
    <row r="87" spans="1:14">
      <c r="A87" s="367"/>
      <c r="B87" s="368"/>
      <c r="C87" s="45"/>
      <c r="D87" s="364"/>
      <c r="E87" s="365"/>
      <c r="F87" s="365"/>
      <c r="G87" s="366"/>
      <c r="H87" s="364"/>
      <c r="I87" s="365"/>
      <c r="J87" s="366"/>
      <c r="K87" s="362"/>
      <c r="L87" s="363"/>
      <c r="M87" s="230"/>
      <c r="N87" s="183"/>
    </row>
    <row r="88" spans="1:14">
      <c r="A88" s="367"/>
      <c r="B88" s="368"/>
      <c r="C88" s="363"/>
      <c r="D88" s="364"/>
      <c r="E88" s="365"/>
      <c r="F88" s="365"/>
      <c r="G88" s="366"/>
      <c r="H88" s="364"/>
      <c r="I88" s="365"/>
      <c r="J88" s="366"/>
      <c r="K88" s="362"/>
      <c r="L88" s="363"/>
      <c r="M88" s="42"/>
      <c r="N88" s="239"/>
    </row>
    <row r="89" spans="1:14">
      <c r="A89" s="367"/>
      <c r="B89" s="368"/>
      <c r="C89" s="363"/>
      <c r="D89" s="364"/>
      <c r="E89" s="365"/>
      <c r="F89" s="365"/>
      <c r="G89" s="366"/>
      <c r="H89" s="364"/>
      <c r="I89" s="365"/>
      <c r="J89" s="366"/>
      <c r="K89" s="362"/>
      <c r="L89" s="363"/>
      <c r="M89" s="233"/>
      <c r="N89" s="183"/>
    </row>
    <row r="90" spans="1:14">
      <c r="A90" s="31"/>
      <c r="B90" s="32"/>
      <c r="C90" s="32"/>
      <c r="D90" s="364"/>
      <c r="E90" s="365"/>
      <c r="F90" s="365"/>
      <c r="G90" s="366"/>
      <c r="H90" s="364"/>
      <c r="I90" s="365"/>
      <c r="J90" s="366"/>
      <c r="K90" s="362"/>
      <c r="L90" s="363"/>
      <c r="M90" s="229"/>
      <c r="N90" s="183"/>
    </row>
    <row r="91" spans="1:14">
      <c r="A91" s="235"/>
      <c r="B91" s="236"/>
      <c r="C91" s="234"/>
      <c r="D91" s="364"/>
      <c r="E91" s="365"/>
      <c r="F91" s="365"/>
      <c r="G91" s="366"/>
      <c r="H91" s="364"/>
      <c r="I91" s="365"/>
      <c r="J91" s="366"/>
      <c r="K91" s="362"/>
      <c r="L91" s="363"/>
      <c r="M91" s="229"/>
      <c r="N91" s="183"/>
    </row>
    <row r="92" spans="1:14">
      <c r="A92" s="9"/>
      <c r="B92" s="8"/>
      <c r="C92" s="8"/>
      <c r="D92" s="231"/>
      <c r="E92" s="231"/>
      <c r="F92" s="231"/>
      <c r="G92" s="232"/>
      <c r="H92" s="364"/>
      <c r="I92" s="365"/>
      <c r="J92" s="366"/>
      <c r="K92" s="362"/>
      <c r="L92" s="363"/>
      <c r="M92" s="230"/>
      <c r="N92" s="43"/>
    </row>
    <row r="93" spans="1:14">
      <c r="A93" s="9"/>
      <c r="B93" s="8"/>
      <c r="C93" s="8"/>
      <c r="D93" s="8"/>
      <c r="E93" s="8"/>
      <c r="F93" s="8"/>
      <c r="G93" s="45"/>
      <c r="H93" s="8"/>
      <c r="I93" s="8"/>
      <c r="J93" s="8"/>
      <c r="K93" s="138"/>
      <c r="L93" s="8"/>
      <c r="M93" s="139"/>
      <c r="N93" s="137"/>
    </row>
    <row r="94" spans="1:14">
      <c r="A94" s="255" t="s">
        <v>28</v>
      </c>
      <c r="B94" s="376"/>
      <c r="C94" s="377"/>
      <c r="D94" s="374" t="s">
        <v>2876</v>
      </c>
      <c r="E94" s="374"/>
      <c r="F94" s="374"/>
      <c r="G94" s="374"/>
      <c r="H94" s="375"/>
      <c r="I94" s="378"/>
      <c r="J94" s="379"/>
      <c r="K94" s="379"/>
      <c r="L94" s="379"/>
      <c r="M94" s="379"/>
      <c r="N94" s="380"/>
    </row>
    <row r="95" spans="1:14" ht="15.75" customHeight="1">
      <c r="A95" s="401" t="s">
        <v>27</v>
      </c>
      <c r="B95" s="402"/>
      <c r="C95" s="402"/>
      <c r="D95" s="402"/>
      <c r="E95" s="402"/>
      <c r="F95" s="403"/>
      <c r="G95" s="202"/>
      <c r="H95" s="238"/>
      <c r="I95" s="172"/>
      <c r="J95" s="172"/>
      <c r="K95" s="172"/>
      <c r="L95" s="172"/>
      <c r="M95" s="172"/>
      <c r="N95" s="173"/>
    </row>
    <row r="96" spans="1:14" ht="16.5" customHeight="1" thickBot="1">
      <c r="A96" s="256" t="s">
        <v>29</v>
      </c>
      <c r="B96" s="200"/>
      <c r="C96" s="201" t="s">
        <v>15</v>
      </c>
      <c r="D96" s="381" t="s">
        <v>2905</v>
      </c>
      <c r="E96" s="394"/>
      <c r="F96" s="381"/>
      <c r="G96" s="382"/>
      <c r="H96" s="382"/>
      <c r="I96" s="382"/>
      <c r="J96" s="382"/>
      <c r="K96" s="382"/>
      <c r="L96" s="382"/>
      <c r="M96" s="382"/>
      <c r="N96" s="383"/>
    </row>
    <row r="97" spans="1:14" ht="16.5" thickTop="1" thickBot="1">
      <c r="A97" s="257" t="s">
        <v>30</v>
      </c>
      <c r="B97" s="61"/>
      <c r="C97" s="11" t="s">
        <v>15</v>
      </c>
      <c r="D97" s="384"/>
      <c r="E97" s="395"/>
      <c r="F97" s="384"/>
      <c r="G97" s="385"/>
      <c r="H97" s="385"/>
      <c r="I97" s="385"/>
      <c r="J97" s="385"/>
      <c r="K97" s="385"/>
      <c r="L97" s="385"/>
      <c r="M97" s="385"/>
      <c r="N97" s="386"/>
    </row>
    <row r="98" spans="1:14" ht="16.5" thickTop="1" thickBot="1">
      <c r="A98" s="258" t="s">
        <v>2877</v>
      </c>
      <c r="B98" s="61"/>
      <c r="C98" s="11" t="s">
        <v>15</v>
      </c>
      <c r="D98" s="387"/>
      <c r="E98" s="396"/>
      <c r="F98" s="387"/>
      <c r="G98" s="388"/>
      <c r="H98" s="388"/>
      <c r="I98" s="388"/>
      <c r="J98" s="388"/>
      <c r="K98" s="388"/>
      <c r="L98" s="388"/>
      <c r="M98" s="388"/>
      <c r="N98" s="389"/>
    </row>
    <row r="99" spans="1:14" ht="16.5" thickTop="1" thickBot="1">
      <c r="A99" s="1" t="s">
        <v>2908</v>
      </c>
    </row>
    <row r="100" spans="1:14" ht="56.25" customHeight="1" thickTop="1" thickBot="1">
      <c r="A100" s="321" t="s">
        <v>2925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4"/>
    </row>
    <row r="101" spans="1:14" ht="16.5" thickTop="1" thickBot="1">
      <c r="A101" s="165" t="s">
        <v>5</v>
      </c>
      <c r="B101" s="78"/>
      <c r="C101" s="203"/>
      <c r="D101" s="165" t="s">
        <v>2857</v>
      </c>
      <c r="E101" s="341"/>
      <c r="F101" s="341"/>
      <c r="G101" s="341"/>
      <c r="H101" s="341"/>
      <c r="I101" s="341"/>
      <c r="J101" s="341"/>
      <c r="K101" s="341"/>
      <c r="L101" s="341"/>
      <c r="M101" s="341"/>
      <c r="N101" s="342"/>
    </row>
    <row r="102" spans="1:14" ht="16.5" thickTop="1" thickBot="1">
      <c r="A102" s="167" t="s">
        <v>10</v>
      </c>
      <c r="B102" s="56"/>
      <c r="C102" s="11" t="s">
        <v>15</v>
      </c>
      <c r="D102" s="54"/>
      <c r="E102" s="53"/>
      <c r="F102" s="53"/>
      <c r="G102" s="53"/>
      <c r="H102" s="53"/>
      <c r="I102" s="53"/>
      <c r="J102" s="53"/>
      <c r="K102" s="53"/>
      <c r="L102" s="53"/>
      <c r="M102" s="53"/>
      <c r="N102" s="55"/>
    </row>
    <row r="103" spans="1:14" ht="16.5" thickTop="1" thickBot="1">
      <c r="A103" s="165" t="s">
        <v>2927</v>
      </c>
      <c r="B103" s="10"/>
      <c r="C103" s="11" t="s">
        <v>15</v>
      </c>
      <c r="D103" s="343" t="s">
        <v>2931</v>
      </c>
      <c r="E103" s="344"/>
      <c r="F103" s="344"/>
      <c r="G103" s="344"/>
      <c r="H103" s="344"/>
      <c r="I103" s="344"/>
      <c r="J103" s="345"/>
      <c r="K103" s="346" t="s">
        <v>3</v>
      </c>
      <c r="L103" s="347"/>
      <c r="M103" s="347"/>
      <c r="N103" s="348"/>
    </row>
    <row r="104" spans="1:14" ht="15.75" thickTop="1">
      <c r="A104" s="327" t="s">
        <v>2878</v>
      </c>
      <c r="B104" s="349"/>
      <c r="C104" s="197"/>
      <c r="D104" s="195" t="s">
        <v>2887</v>
      </c>
      <c r="E104" s="351"/>
      <c r="F104" s="352"/>
      <c r="G104" s="352"/>
      <c r="H104" s="352"/>
      <c r="I104" s="353"/>
      <c r="J104" s="354" t="s">
        <v>6</v>
      </c>
      <c r="K104" s="356"/>
      <c r="L104" s="357"/>
      <c r="M104" s="357"/>
      <c r="N104" s="358"/>
    </row>
    <row r="105" spans="1:14" ht="15.75" thickBot="1">
      <c r="A105" s="328"/>
      <c r="B105" s="350"/>
      <c r="C105" s="267"/>
      <c r="D105" s="268" t="s">
        <v>2888</v>
      </c>
      <c r="E105" s="434"/>
      <c r="F105" s="435"/>
      <c r="G105" s="435"/>
      <c r="H105" s="435"/>
      <c r="I105" s="436"/>
      <c r="J105" s="355"/>
      <c r="K105" s="359"/>
      <c r="L105" s="360"/>
      <c r="M105" s="360"/>
      <c r="N105" s="361"/>
    </row>
    <row r="106" spans="1:14" ht="37.5" customHeight="1" thickTop="1" thickBot="1">
      <c r="A106" s="254" t="s">
        <v>2900</v>
      </c>
      <c r="B106" s="371"/>
      <c r="C106" s="372"/>
      <c r="D106" s="372"/>
      <c r="E106" s="372"/>
      <c r="F106" s="372"/>
      <c r="G106" s="372"/>
      <c r="H106" s="372"/>
      <c r="I106" s="372"/>
      <c r="J106" s="372"/>
      <c r="K106" s="372"/>
      <c r="L106" s="372"/>
      <c r="M106" s="372"/>
      <c r="N106" s="373"/>
    </row>
    <row r="107" spans="1:14" ht="45.75" thickTop="1">
      <c r="A107" s="162" t="s">
        <v>2874</v>
      </c>
      <c r="B107" s="404" t="s">
        <v>17</v>
      </c>
      <c r="C107" s="405"/>
      <c r="D107" s="237" t="s">
        <v>18</v>
      </c>
      <c r="E107" s="77" t="s">
        <v>2896</v>
      </c>
      <c r="F107" s="392" t="s">
        <v>2875</v>
      </c>
      <c r="G107" s="393"/>
      <c r="H107" s="392" t="s">
        <v>19</v>
      </c>
      <c r="I107" s="398"/>
      <c r="J107" s="398"/>
      <c r="K107" s="398"/>
      <c r="L107" s="398"/>
      <c r="M107" s="398"/>
      <c r="N107" s="406"/>
    </row>
    <row r="108" spans="1:14">
      <c r="A108" s="158"/>
      <c r="B108" s="369"/>
      <c r="C108" s="370"/>
      <c r="D108" s="228"/>
      <c r="E108" s="228"/>
      <c r="F108" s="369"/>
      <c r="G108" s="370"/>
      <c r="H108" s="338"/>
      <c r="I108" s="339"/>
      <c r="J108" s="339"/>
      <c r="K108" s="339"/>
      <c r="L108" s="339"/>
      <c r="M108" s="339"/>
      <c r="N108" s="340"/>
    </row>
    <row r="109" spans="1:14">
      <c r="A109" s="158"/>
      <c r="B109" s="369"/>
      <c r="C109" s="370"/>
      <c r="D109" s="228"/>
      <c r="E109" s="228"/>
      <c r="F109" s="369"/>
      <c r="G109" s="370"/>
      <c r="H109" s="338"/>
      <c r="I109" s="339"/>
      <c r="J109" s="339"/>
      <c r="K109" s="339"/>
      <c r="L109" s="339"/>
      <c r="M109" s="339"/>
      <c r="N109" s="340"/>
    </row>
    <row r="110" spans="1:14">
      <c r="A110" s="158"/>
      <c r="B110" s="369"/>
      <c r="C110" s="370"/>
      <c r="D110" s="228"/>
      <c r="E110" s="228"/>
      <c r="F110" s="369"/>
      <c r="G110" s="370"/>
      <c r="H110" s="338"/>
      <c r="I110" s="339"/>
      <c r="J110" s="339"/>
      <c r="K110" s="339"/>
      <c r="L110" s="339"/>
      <c r="M110" s="339"/>
      <c r="N110" s="340"/>
    </row>
    <row r="111" spans="1:14">
      <c r="A111" s="158"/>
      <c r="B111" s="369"/>
      <c r="C111" s="370"/>
      <c r="D111" s="228"/>
      <c r="E111" s="228"/>
      <c r="F111" s="369"/>
      <c r="G111" s="370"/>
      <c r="H111" s="338"/>
      <c r="I111" s="339"/>
      <c r="J111" s="339"/>
      <c r="K111" s="339"/>
      <c r="L111" s="339"/>
      <c r="M111" s="339"/>
      <c r="N111" s="340"/>
    </row>
    <row r="112" spans="1:14">
      <c r="A112" s="158"/>
      <c r="B112" s="369"/>
      <c r="C112" s="370"/>
      <c r="D112" s="228"/>
      <c r="E112" s="228"/>
      <c r="F112" s="369"/>
      <c r="G112" s="370"/>
      <c r="H112" s="338"/>
      <c r="I112" s="339"/>
      <c r="J112" s="339"/>
      <c r="K112" s="339"/>
      <c r="L112" s="339"/>
      <c r="M112" s="339"/>
      <c r="N112" s="340"/>
    </row>
    <row r="113" spans="1:15">
      <c r="A113" s="158"/>
      <c r="B113" s="369"/>
      <c r="C113" s="370"/>
      <c r="D113" s="228"/>
      <c r="E113" s="228"/>
      <c r="F113" s="369"/>
      <c r="G113" s="370"/>
      <c r="H113" s="338"/>
      <c r="I113" s="339"/>
      <c r="J113" s="339"/>
      <c r="K113" s="339"/>
      <c r="L113" s="339"/>
      <c r="M113" s="339"/>
      <c r="N113" s="340"/>
    </row>
    <row r="114" spans="1:15">
      <c r="A114" s="158"/>
      <c r="B114" s="369"/>
      <c r="C114" s="370"/>
      <c r="D114" s="228"/>
      <c r="E114" s="228"/>
      <c r="F114" s="369"/>
      <c r="G114" s="370"/>
      <c r="H114" s="338"/>
      <c r="I114" s="339"/>
      <c r="J114" s="339"/>
      <c r="K114" s="339"/>
      <c r="L114" s="339"/>
      <c r="M114" s="339"/>
      <c r="N114" s="340"/>
    </row>
    <row r="115" spans="1:15">
      <c r="A115" s="158"/>
      <c r="B115" s="369"/>
      <c r="C115" s="370"/>
      <c r="D115" s="228"/>
      <c r="E115" s="228"/>
      <c r="F115" s="369"/>
      <c r="G115" s="370"/>
      <c r="H115" s="338"/>
      <c r="I115" s="339"/>
      <c r="J115" s="339"/>
      <c r="K115" s="339"/>
      <c r="L115" s="339"/>
      <c r="M115" s="339"/>
      <c r="N115" s="340"/>
      <c r="O115" s="1"/>
    </row>
    <row r="116" spans="1:15" ht="15.75" thickBot="1">
      <c r="A116" s="160"/>
      <c r="B116" s="390"/>
      <c r="C116" s="391"/>
      <c r="D116" s="161"/>
      <c r="E116" s="161"/>
      <c r="F116" s="369"/>
      <c r="G116" s="370"/>
      <c r="H116" s="338"/>
      <c r="I116" s="339"/>
      <c r="J116" s="339"/>
      <c r="K116" s="339"/>
      <c r="L116" s="339"/>
      <c r="M116" s="339"/>
      <c r="N116" s="340"/>
    </row>
    <row r="117" spans="1:15" ht="16.5" thickTop="1" thickBot="1">
      <c r="A117" s="59" t="s">
        <v>20</v>
      </c>
      <c r="B117" s="60"/>
      <c r="C117" s="11" t="s">
        <v>15</v>
      </c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8"/>
    </row>
    <row r="118" spans="1:15" ht="45.75" thickTop="1">
      <c r="A118" s="397" t="s">
        <v>22</v>
      </c>
      <c r="B118" s="398"/>
      <c r="C118" s="393"/>
      <c r="D118" s="392" t="s">
        <v>21</v>
      </c>
      <c r="E118" s="398"/>
      <c r="F118" s="398"/>
      <c r="G118" s="393"/>
      <c r="H118" s="392" t="s">
        <v>23</v>
      </c>
      <c r="I118" s="398"/>
      <c r="J118" s="393"/>
      <c r="K118" s="392" t="s">
        <v>24</v>
      </c>
      <c r="L118" s="393"/>
      <c r="M118" s="38" t="s">
        <v>25</v>
      </c>
      <c r="N118" s="39" t="s">
        <v>26</v>
      </c>
    </row>
    <row r="119" spans="1:15">
      <c r="A119" s="367"/>
      <c r="B119" s="368"/>
      <c r="C119" s="45"/>
      <c r="D119" s="364"/>
      <c r="E119" s="365"/>
      <c r="F119" s="365"/>
      <c r="G119" s="366"/>
      <c r="H119" s="364"/>
      <c r="I119" s="365"/>
      <c r="J119" s="366"/>
      <c r="K119" s="362"/>
      <c r="L119" s="363"/>
      <c r="M119" s="229"/>
      <c r="N119" s="183"/>
    </row>
    <row r="120" spans="1:15">
      <c r="A120" s="367"/>
      <c r="B120" s="368"/>
      <c r="C120" s="45"/>
      <c r="D120" s="364"/>
      <c r="E120" s="365"/>
      <c r="F120" s="365"/>
      <c r="G120" s="366"/>
      <c r="H120" s="364"/>
      <c r="I120" s="365"/>
      <c r="J120" s="366"/>
      <c r="K120" s="362"/>
      <c r="L120" s="363"/>
      <c r="M120" s="230"/>
      <c r="N120" s="183"/>
    </row>
    <row r="121" spans="1:15">
      <c r="A121" s="367"/>
      <c r="B121" s="368"/>
      <c r="C121" s="363"/>
      <c r="D121" s="364"/>
      <c r="E121" s="365"/>
      <c r="F121" s="365"/>
      <c r="G121" s="366"/>
      <c r="H121" s="364"/>
      <c r="I121" s="365"/>
      <c r="J121" s="366"/>
      <c r="K121" s="362"/>
      <c r="L121" s="363"/>
      <c r="M121" s="42"/>
      <c r="N121" s="239"/>
    </row>
    <row r="122" spans="1:15">
      <c r="A122" s="367"/>
      <c r="B122" s="368"/>
      <c r="C122" s="363"/>
      <c r="D122" s="364"/>
      <c r="E122" s="365"/>
      <c r="F122" s="365"/>
      <c r="G122" s="366"/>
      <c r="H122" s="364"/>
      <c r="I122" s="365"/>
      <c r="J122" s="366"/>
      <c r="K122" s="362"/>
      <c r="L122" s="363"/>
      <c r="M122" s="233"/>
      <c r="N122" s="183"/>
    </row>
    <row r="123" spans="1:15">
      <c r="A123" s="31"/>
      <c r="B123" s="32"/>
      <c r="C123" s="32"/>
      <c r="D123" s="364"/>
      <c r="E123" s="365"/>
      <c r="F123" s="365"/>
      <c r="G123" s="366"/>
      <c r="H123" s="364"/>
      <c r="I123" s="365"/>
      <c r="J123" s="366"/>
      <c r="K123" s="362"/>
      <c r="L123" s="363"/>
      <c r="M123" s="229"/>
      <c r="N123" s="183"/>
    </row>
    <row r="124" spans="1:15">
      <c r="A124" s="235"/>
      <c r="B124" s="236"/>
      <c r="C124" s="234"/>
      <c r="D124" s="364"/>
      <c r="E124" s="365"/>
      <c r="F124" s="365"/>
      <c r="G124" s="366"/>
      <c r="H124" s="364"/>
      <c r="I124" s="365"/>
      <c r="J124" s="366"/>
      <c r="K124" s="362"/>
      <c r="L124" s="363"/>
      <c r="M124" s="229"/>
      <c r="N124" s="183"/>
    </row>
    <row r="125" spans="1:15">
      <c r="A125" s="9"/>
      <c r="B125" s="8"/>
      <c r="C125" s="8"/>
      <c r="D125" s="231"/>
      <c r="E125" s="231"/>
      <c r="F125" s="231"/>
      <c r="G125" s="232"/>
      <c r="H125" s="364"/>
      <c r="I125" s="365"/>
      <c r="J125" s="366"/>
      <c r="K125" s="362"/>
      <c r="L125" s="363"/>
      <c r="M125" s="230"/>
      <c r="N125" s="43"/>
    </row>
    <row r="126" spans="1:15">
      <c r="A126" s="9"/>
      <c r="B126" s="8"/>
      <c r="C126" s="8"/>
      <c r="D126" s="8"/>
      <c r="E126" s="8"/>
      <c r="F126" s="8"/>
      <c r="G126" s="45"/>
      <c r="H126" s="8"/>
      <c r="I126" s="8"/>
      <c r="J126" s="8"/>
      <c r="K126" s="138"/>
      <c r="L126" s="8"/>
      <c r="M126" s="139"/>
      <c r="N126" s="137"/>
    </row>
    <row r="127" spans="1:15">
      <c r="A127" s="255" t="s">
        <v>28</v>
      </c>
      <c r="B127" s="376"/>
      <c r="C127" s="377"/>
      <c r="D127" s="374" t="s">
        <v>2876</v>
      </c>
      <c r="E127" s="374"/>
      <c r="F127" s="374"/>
      <c r="G127" s="374"/>
      <c r="H127" s="375"/>
      <c r="I127" s="378"/>
      <c r="J127" s="379"/>
      <c r="K127" s="379"/>
      <c r="L127" s="379"/>
      <c r="M127" s="379"/>
      <c r="N127" s="380"/>
    </row>
    <row r="128" spans="1:15" ht="15.75" customHeight="1">
      <c r="A128" s="401" t="s">
        <v>27</v>
      </c>
      <c r="B128" s="402"/>
      <c r="C128" s="402"/>
      <c r="D128" s="402"/>
      <c r="E128" s="402"/>
      <c r="F128" s="403"/>
      <c r="G128" s="202"/>
      <c r="H128" s="238"/>
      <c r="I128" s="172"/>
      <c r="J128" s="172"/>
      <c r="K128" s="172"/>
      <c r="L128" s="172"/>
      <c r="M128" s="172"/>
      <c r="N128" s="173"/>
    </row>
    <row r="129" spans="1:14" ht="16.5" customHeight="1" thickBot="1">
      <c r="A129" s="256" t="s">
        <v>29</v>
      </c>
      <c r="B129" s="200"/>
      <c r="C129" s="201" t="s">
        <v>15</v>
      </c>
      <c r="D129" s="381" t="s">
        <v>2905</v>
      </c>
      <c r="E129" s="394"/>
      <c r="F129" s="381"/>
      <c r="G129" s="382"/>
      <c r="H129" s="382"/>
      <c r="I129" s="382"/>
      <c r="J129" s="382"/>
      <c r="K129" s="382"/>
      <c r="L129" s="382"/>
      <c r="M129" s="382"/>
      <c r="N129" s="383"/>
    </row>
    <row r="130" spans="1:14" ht="16.5" thickTop="1" thickBot="1">
      <c r="A130" s="257" t="s">
        <v>30</v>
      </c>
      <c r="B130" s="61"/>
      <c r="C130" s="11" t="s">
        <v>15</v>
      </c>
      <c r="D130" s="384"/>
      <c r="E130" s="395"/>
      <c r="F130" s="384"/>
      <c r="G130" s="385"/>
      <c r="H130" s="385"/>
      <c r="I130" s="385"/>
      <c r="J130" s="385"/>
      <c r="K130" s="385"/>
      <c r="L130" s="385"/>
      <c r="M130" s="385"/>
      <c r="N130" s="386"/>
    </row>
    <row r="131" spans="1:14" ht="16.5" thickTop="1" thickBot="1">
      <c r="A131" s="258" t="s">
        <v>2877</v>
      </c>
      <c r="B131" s="61"/>
      <c r="C131" s="11" t="s">
        <v>15</v>
      </c>
      <c r="D131" s="387"/>
      <c r="E131" s="396"/>
      <c r="F131" s="387"/>
      <c r="G131" s="388"/>
      <c r="H131" s="388"/>
      <c r="I131" s="388"/>
      <c r="J131" s="388"/>
      <c r="K131" s="388"/>
      <c r="L131" s="388"/>
      <c r="M131" s="388"/>
      <c r="N131" s="389"/>
    </row>
    <row r="132" spans="1:14" ht="15.75" thickTop="1">
      <c r="A132" s="1" t="s">
        <v>2934</v>
      </c>
    </row>
    <row r="143" spans="1:14" ht="45.75" customHeight="1"/>
    <row r="152" ht="48" customHeight="1"/>
    <row r="153" ht="108" customHeight="1"/>
  </sheetData>
  <mergeCells count="305"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19:C19"/>
    <mergeCell ref="F19:G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8:G18"/>
    <mergeCell ref="H16:N16"/>
    <mergeCell ref="H17:N17"/>
    <mergeCell ref="H18:N18"/>
    <mergeCell ref="H19:N19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H28:J28"/>
    <mergeCell ref="K28:L28"/>
    <mergeCell ref="H29:J29"/>
    <mergeCell ref="C30:I30"/>
    <mergeCell ref="J30:N30"/>
    <mergeCell ref="A31:F31"/>
    <mergeCell ref="D26:G26"/>
    <mergeCell ref="H26:J26"/>
    <mergeCell ref="K26:L26"/>
    <mergeCell ref="D27:G27"/>
    <mergeCell ref="H27:J27"/>
    <mergeCell ref="K27:L27"/>
    <mergeCell ref="D38:J38"/>
    <mergeCell ref="K38:N38"/>
    <mergeCell ref="A39:A40"/>
    <mergeCell ref="B39:B40"/>
    <mergeCell ref="E39:I39"/>
    <mergeCell ref="J39:J40"/>
    <mergeCell ref="K39:N40"/>
    <mergeCell ref="D32:E34"/>
    <mergeCell ref="F32:N32"/>
    <mergeCell ref="F33:N33"/>
    <mergeCell ref="F34:N34"/>
    <mergeCell ref="A35:N35"/>
    <mergeCell ref="E36:N36"/>
    <mergeCell ref="E40:I40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D59:G59"/>
    <mergeCell ref="H59:J59"/>
    <mergeCell ref="K59:L59"/>
    <mergeCell ref="H60:J60"/>
    <mergeCell ref="K60:L60"/>
    <mergeCell ref="A57:C57"/>
    <mergeCell ref="D57:G57"/>
    <mergeCell ref="H57:J57"/>
    <mergeCell ref="K57:L57"/>
    <mergeCell ref="D58:G58"/>
    <mergeCell ref="H58:J58"/>
    <mergeCell ref="K58:L58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E72:I72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D91:G91"/>
    <mergeCell ref="H91:J91"/>
    <mergeCell ref="K91:L91"/>
    <mergeCell ref="H92:J92"/>
    <mergeCell ref="K92:L92"/>
    <mergeCell ref="D94:H94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E101:N101"/>
    <mergeCell ref="D103:J103"/>
    <mergeCell ref="K103:N103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13:G113"/>
    <mergeCell ref="F114:G114"/>
    <mergeCell ref="F115:G115"/>
    <mergeCell ref="F116:G116"/>
    <mergeCell ref="H113:N113"/>
    <mergeCell ref="H114:N114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F129:N131"/>
    <mergeCell ref="A128:F128"/>
    <mergeCell ref="D129:E131"/>
    <mergeCell ref="B62:C62"/>
    <mergeCell ref="D62:H62"/>
    <mergeCell ref="I62:N62"/>
    <mergeCell ref="F64:N66"/>
    <mergeCell ref="B94:C94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F108:G108"/>
    <mergeCell ref="F109:G109"/>
    <mergeCell ref="F110:G110"/>
    <mergeCell ref="F111:G111"/>
    <mergeCell ref="F112:G112"/>
    <mergeCell ref="H112:N112"/>
    <mergeCell ref="B106:N106"/>
    <mergeCell ref="B107:C107"/>
    <mergeCell ref="F107:G107"/>
    <mergeCell ref="H107:N107"/>
    <mergeCell ref="B108:C108"/>
    <mergeCell ref="H108:N108"/>
    <mergeCell ref="B112:C1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676275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723900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704850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704850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704850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704850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676275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723900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704850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704850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704850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704850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676275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676275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723900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704850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704850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704850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704850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676275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676275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752475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447675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533400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676275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723900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704850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704850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704850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704850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104775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600075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13F026-1A55-4FCD-9A64-26A914A34DFF}">
          <x14:formula1>
            <xm:f>List!$A$1:$A$2</xm:f>
          </x14:formula1>
          <xm:sqref>B20 B32:B34 B52 B84 B96:B98 B64:B66 B117 B129:B131</xm:sqref>
        </x14:dataValidation>
        <x14:dataValidation type="list" allowBlank="1" showInputMessage="1" showErrorMessage="1" xr:uid="{78A4AD06-6B9D-4D46-AEBF-2BEE93622C54}">
          <x14:formula1>
            <xm:f>List!$C$1:$C$3</xm:f>
          </x14:formula1>
          <xm:sqref>B4 B37 B69 B102</xm:sqref>
        </x14:dataValidation>
        <x14:dataValidation type="list" allowBlank="1" showInputMessage="1" showErrorMessage="1" xr:uid="{E5413C61-10F3-4018-A0AE-C6A185123B3D}">
          <x14:formula1>
            <xm:f>List!$E$1:$E$7</xm:f>
          </x14:formula1>
          <xm:sqref>B5 B38 B70 B103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8FD-8751-485F-8D7E-AA89E1E69C8B}">
  <sheetPr codeName="Sheet8"/>
  <dimension ref="A1:AH2800"/>
  <sheetViews>
    <sheetView topLeftCell="A112" zoomScale="90" zoomScaleNormal="90" zoomScalePageLayoutView="35" workbookViewId="0">
      <selection activeCell="W136" sqref="W136:Y136"/>
    </sheetView>
  </sheetViews>
  <sheetFormatPr defaultColWidth="9.140625"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140625" style="20" customWidth="1"/>
    <col min="20" max="20" width="0.140625" style="20" customWidth="1"/>
    <col min="21" max="21" width="9.1406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6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91" t="s">
        <v>2886</v>
      </c>
      <c r="B1" s="140">
        <f>Hydrological!B1</f>
        <v>6</v>
      </c>
      <c r="C1" s="318" t="s">
        <v>2879</v>
      </c>
      <c r="D1" s="319"/>
      <c r="E1" s="307" t="str">
        <f>Hydrological!G1</f>
        <v>Bull Creek North</v>
      </c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8"/>
    </row>
    <row r="2" spans="1:34" ht="75" customHeight="1" thickTop="1" thickBot="1">
      <c r="A2" s="409" t="s">
        <v>2880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AB2" s="20">
        <f ca="1">CELL("contents")</f>
        <v>0</v>
      </c>
      <c r="AE2" s="20">
        <f ca="1">COUNTIF(AF4:AF2800,"?*")</f>
        <v>0</v>
      </c>
    </row>
    <row r="3" spans="1:34" ht="19.5" customHeight="1" thickTop="1" thickBot="1">
      <c r="A3" s="165" t="s">
        <v>5</v>
      </c>
      <c r="B3" s="274">
        <v>42541</v>
      </c>
      <c r="C3" s="260"/>
      <c r="D3" s="260" t="s">
        <v>2847</v>
      </c>
      <c r="E3" s="514" t="s">
        <v>3017</v>
      </c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515"/>
      <c r="Q3" s="515"/>
      <c r="R3" s="515"/>
      <c r="S3" s="515"/>
      <c r="T3" s="515"/>
      <c r="U3" s="515"/>
      <c r="V3" s="515"/>
      <c r="W3" s="515"/>
      <c r="X3" s="515"/>
      <c r="Y3" s="516"/>
    </row>
    <row r="4" spans="1:34" ht="16.5" thickTop="1" thickBot="1">
      <c r="A4" s="166" t="s">
        <v>2895</v>
      </c>
      <c r="B4" s="125">
        <v>1</v>
      </c>
      <c r="C4" s="11" t="s">
        <v>15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7"/>
      <c r="X4" s="7"/>
      <c r="Y4" s="6"/>
      <c r="AC4" s="36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65" t="s">
        <v>2873</v>
      </c>
      <c r="B5" s="126" t="s">
        <v>11</v>
      </c>
      <c r="C5" s="11" t="s">
        <v>15</v>
      </c>
      <c r="D5" s="217" t="s">
        <v>2869</v>
      </c>
      <c r="E5" s="517" t="s">
        <v>3024</v>
      </c>
      <c r="F5" s="518"/>
      <c r="G5" s="518"/>
      <c r="H5" s="518"/>
      <c r="I5" s="518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6"/>
      <c r="AC5" s="36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9" t="s">
        <v>33</v>
      </c>
      <c r="B6" s="520"/>
      <c r="C6" s="521"/>
      <c r="D6" s="521"/>
      <c r="E6" s="521"/>
      <c r="F6" s="522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23" t="s">
        <v>2885</v>
      </c>
      <c r="W6" s="524"/>
      <c r="X6" s="524"/>
      <c r="Y6" s="525"/>
      <c r="AB6" s="36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07" t="s">
        <v>35</v>
      </c>
      <c r="B7" s="206" t="s">
        <v>40</v>
      </c>
      <c r="C7" s="11" t="s">
        <v>15</v>
      </c>
      <c r="D7" s="498"/>
      <c r="E7" s="499"/>
      <c r="F7" s="500"/>
      <c r="G7" s="512" t="s">
        <v>31</v>
      </c>
      <c r="H7" s="512"/>
      <c r="I7" s="512"/>
      <c r="J7" s="512"/>
      <c r="K7" s="512"/>
      <c r="L7" s="512"/>
      <c r="M7" s="512"/>
      <c r="N7" s="512"/>
      <c r="O7" s="512"/>
      <c r="P7" s="512"/>
      <c r="Q7" s="512"/>
      <c r="R7" s="512"/>
      <c r="S7" s="512"/>
      <c r="T7" s="512"/>
      <c r="U7" s="95"/>
      <c r="V7" s="489"/>
      <c r="W7" s="490"/>
      <c r="X7" s="490"/>
      <c r="Y7" s="491"/>
      <c r="AC7" s="36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08" t="s">
        <v>2889</v>
      </c>
      <c r="B8" s="206" t="s">
        <v>37</v>
      </c>
      <c r="C8" s="11" t="s">
        <v>15</v>
      </c>
      <c r="D8" s="501"/>
      <c r="E8" s="502"/>
      <c r="F8" s="503"/>
      <c r="G8" s="504"/>
      <c r="H8" s="505"/>
      <c r="I8" s="505"/>
      <c r="J8" s="505"/>
      <c r="K8" s="505"/>
      <c r="L8" s="505"/>
      <c r="M8" s="505"/>
      <c r="N8" s="505"/>
      <c r="O8" s="505"/>
      <c r="P8" s="505"/>
      <c r="Q8" s="505"/>
      <c r="R8" s="505"/>
      <c r="S8" s="505"/>
      <c r="T8" s="505"/>
      <c r="U8" s="95"/>
      <c r="V8" s="492"/>
      <c r="W8" s="493"/>
      <c r="X8" s="493"/>
      <c r="Y8" s="494"/>
      <c r="AC8" s="36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508" t="s">
        <v>2871</v>
      </c>
      <c r="B9" s="493" t="s">
        <v>3025</v>
      </c>
      <c r="C9" s="493"/>
      <c r="D9" s="493"/>
      <c r="E9" s="493"/>
      <c r="F9" s="493"/>
      <c r="G9" s="506"/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95"/>
      <c r="V9" s="492"/>
      <c r="W9" s="493"/>
      <c r="X9" s="493"/>
      <c r="Y9" s="494"/>
      <c r="AC9" s="36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509"/>
      <c r="B10" s="496"/>
      <c r="C10" s="496"/>
      <c r="D10" s="496"/>
      <c r="E10" s="496"/>
      <c r="F10" s="496"/>
      <c r="G10" s="506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249"/>
      <c r="V10" s="495"/>
      <c r="W10" s="496"/>
      <c r="X10" s="496"/>
      <c r="Y10" s="497"/>
    </row>
    <row r="11" spans="1:34">
      <c r="A11" s="205" t="s">
        <v>2843</v>
      </c>
      <c r="B11" s="475"/>
      <c r="C11" s="475"/>
      <c r="D11" s="475"/>
      <c r="E11" s="475"/>
      <c r="F11" s="475"/>
      <c r="G11" s="475"/>
      <c r="H11" s="476" t="s">
        <v>2890</v>
      </c>
      <c r="I11" s="477"/>
      <c r="J11" s="477"/>
      <c r="K11" s="478"/>
      <c r="L11" s="476" t="s">
        <v>2891</v>
      </c>
      <c r="M11" s="477"/>
      <c r="N11" s="477"/>
      <c r="O11" s="478"/>
      <c r="P11" s="476" t="s">
        <v>2914</v>
      </c>
      <c r="Q11" s="477"/>
      <c r="R11" s="477"/>
      <c r="S11" s="478"/>
      <c r="T11" s="479"/>
      <c r="U11" s="480"/>
      <c r="V11" s="480"/>
      <c r="W11" s="480"/>
      <c r="X11" s="480"/>
      <c r="Y11" s="481"/>
      <c r="AC11" s="36">
        <f ca="1">IF(ISNUMBER(SEARCH($AB$2,AD11)),MAX($AC$2:AC9)+1,0)</f>
        <v>0</v>
      </c>
      <c r="AD11" s="20" t="s">
        <v>53</v>
      </c>
      <c r="AF11" s="20" t="str">
        <f ca="1">IFERROR(VLOOKUP(ROWS($AF$4:AF11),$AC$4:$AD$2800,2,0),"")</f>
        <v/>
      </c>
    </row>
    <row r="12" spans="1:34" ht="21" customHeight="1" thickBot="1">
      <c r="A12" s="482" t="s">
        <v>2872</v>
      </c>
      <c r="B12" s="483"/>
      <c r="C12" s="484"/>
      <c r="D12" s="485" t="s">
        <v>2844</v>
      </c>
      <c r="E12" s="475"/>
      <c r="F12" s="475"/>
      <c r="G12" s="475"/>
      <c r="H12" s="106" t="s">
        <v>2852</v>
      </c>
      <c r="I12" s="94" t="s">
        <v>2850</v>
      </c>
      <c r="J12" s="94" t="s">
        <v>2849</v>
      </c>
      <c r="K12" s="107" t="s">
        <v>2851</v>
      </c>
      <c r="L12" s="106" t="s">
        <v>2852</v>
      </c>
      <c r="M12" s="94" t="s">
        <v>2850</v>
      </c>
      <c r="N12" s="94" t="s">
        <v>2849</v>
      </c>
      <c r="O12" s="107" t="s">
        <v>2851</v>
      </c>
      <c r="P12" s="106" t="s">
        <v>2852</v>
      </c>
      <c r="Q12" s="94" t="s">
        <v>2850</v>
      </c>
      <c r="R12" s="94" t="s">
        <v>2849</v>
      </c>
      <c r="S12" s="107" t="s">
        <v>2851</v>
      </c>
      <c r="T12" s="104"/>
      <c r="U12" s="74"/>
      <c r="V12" s="486" t="s">
        <v>2845</v>
      </c>
      <c r="W12" s="487"/>
      <c r="X12" s="487"/>
      <c r="Y12" s="488"/>
      <c r="AC12" s="36">
        <f ca="1">IF(ISNUMBER(SEARCH($AB$2,AD12)),MAX($AC$2:AC11)+1,0)</f>
        <v>0</v>
      </c>
      <c r="AD12" s="20" t="s">
        <v>54</v>
      </c>
      <c r="AF12" s="20" t="str">
        <f ca="1">IFERROR(VLOOKUP(ROWS($AF$4:AF12),$AC$4:$AD$2800,2,0),"")</f>
        <v/>
      </c>
      <c r="AG12" s="36"/>
    </row>
    <row r="13" spans="1:34" ht="16.5" customHeight="1" thickTop="1" thickBot="1">
      <c r="A13" s="468" t="s">
        <v>2810</v>
      </c>
      <c r="B13" s="469"/>
      <c r="C13" s="11" t="s">
        <v>15</v>
      </c>
      <c r="D13" s="400" t="str">
        <f>(IFERROR(VLOOKUP(A13,List!$H$1:$I$2804,2,FALSE),""))</f>
        <v>FACW</v>
      </c>
      <c r="E13" s="400"/>
      <c r="F13" s="400"/>
      <c r="G13" s="362"/>
      <c r="H13" s="108"/>
      <c r="I13" s="93"/>
      <c r="J13" s="93"/>
      <c r="K13" s="109"/>
      <c r="L13" s="108"/>
      <c r="M13" s="93"/>
      <c r="N13" s="93"/>
      <c r="O13" s="109"/>
      <c r="P13" s="108"/>
      <c r="Q13" s="93">
        <v>25</v>
      </c>
      <c r="R13" s="93"/>
      <c r="S13" s="109"/>
      <c r="T13" s="92"/>
      <c r="U13" s="144"/>
      <c r="V13" s="368"/>
      <c r="W13" s="368"/>
      <c r="X13" s="368"/>
      <c r="Y13" s="470"/>
      <c r="AC13" s="36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68" t="s">
        <v>166</v>
      </c>
      <c r="B14" s="469"/>
      <c r="C14" s="11" t="s">
        <v>15</v>
      </c>
      <c r="D14" s="400" t="str">
        <f>(IFERROR(VLOOKUP(A14,List!$H$1:$I$2804,2,FALSE),""))</f>
        <v>FAC</v>
      </c>
      <c r="E14" s="400"/>
      <c r="F14" s="400"/>
      <c r="G14" s="362"/>
      <c r="H14" s="108"/>
      <c r="I14" s="93"/>
      <c r="J14" s="93"/>
      <c r="K14" s="109"/>
      <c r="L14" s="108"/>
      <c r="M14" s="93"/>
      <c r="N14" s="93"/>
      <c r="O14" s="109"/>
      <c r="P14" s="108"/>
      <c r="Q14" s="93"/>
      <c r="R14" s="93">
        <v>15</v>
      </c>
      <c r="S14" s="109"/>
      <c r="T14" s="92"/>
      <c r="U14" s="144"/>
      <c r="V14" s="368"/>
      <c r="W14" s="368"/>
      <c r="X14" s="368"/>
      <c r="Y14" s="470"/>
      <c r="AC14" s="36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68" t="s">
        <v>1428</v>
      </c>
      <c r="B15" s="469"/>
      <c r="C15" s="11" t="s">
        <v>15</v>
      </c>
      <c r="D15" s="400" t="str">
        <f>(IFERROR(VLOOKUP(A15,List!$H$1:$I$2804,2,FALSE),""))</f>
        <v>OBL</v>
      </c>
      <c r="E15" s="400"/>
      <c r="F15" s="400"/>
      <c r="G15" s="362"/>
      <c r="H15" s="108"/>
      <c r="I15" s="93"/>
      <c r="J15" s="93"/>
      <c r="K15" s="109"/>
      <c r="L15" s="108"/>
      <c r="M15" s="93"/>
      <c r="N15" s="93"/>
      <c r="O15" s="109"/>
      <c r="P15" s="108">
        <v>10</v>
      </c>
      <c r="Q15" s="93"/>
      <c r="R15" s="93"/>
      <c r="S15" s="109"/>
      <c r="T15" s="92"/>
      <c r="U15" s="144"/>
      <c r="V15" s="368"/>
      <c r="W15" s="368"/>
      <c r="X15" s="368"/>
      <c r="Y15" s="470"/>
      <c r="AC15" s="36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68" t="s">
        <v>2801</v>
      </c>
      <c r="B16" s="469"/>
      <c r="C16" s="11" t="s">
        <v>15</v>
      </c>
      <c r="D16" s="400" t="str">
        <f>(IFERROR(VLOOKUP(A16,List!$H$1:$I$2804,2,FALSE),""))</f>
        <v>FACW</v>
      </c>
      <c r="E16" s="400"/>
      <c r="F16" s="400"/>
      <c r="G16" s="362"/>
      <c r="H16" s="108"/>
      <c r="I16" s="93"/>
      <c r="J16" s="93"/>
      <c r="K16" s="109"/>
      <c r="L16" s="108"/>
      <c r="M16" s="93"/>
      <c r="N16" s="93"/>
      <c r="O16" s="109"/>
      <c r="P16" s="108"/>
      <c r="Q16" s="93">
        <v>6</v>
      </c>
      <c r="R16" s="93"/>
      <c r="S16" s="109"/>
      <c r="T16" s="92"/>
      <c r="U16" s="144"/>
      <c r="V16" s="368"/>
      <c r="W16" s="368"/>
      <c r="X16" s="368"/>
      <c r="Y16" s="470"/>
      <c r="AC16" s="36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68" t="s">
        <v>156</v>
      </c>
      <c r="B17" s="469"/>
      <c r="C17" s="11" t="s">
        <v>15</v>
      </c>
      <c r="D17" s="400" t="str">
        <f>(IFERROR(VLOOKUP(A17,List!$H$1:$I$2804,2,FALSE),""))</f>
        <v>FACW</v>
      </c>
      <c r="E17" s="400"/>
      <c r="F17" s="400"/>
      <c r="G17" s="362"/>
      <c r="H17" s="108"/>
      <c r="I17" s="93"/>
      <c r="J17" s="93"/>
      <c r="K17" s="109"/>
      <c r="L17" s="108"/>
      <c r="M17" s="93"/>
      <c r="N17" s="93"/>
      <c r="O17" s="109"/>
      <c r="P17" s="108"/>
      <c r="Q17" s="93">
        <v>6</v>
      </c>
      <c r="R17" s="93"/>
      <c r="S17" s="109"/>
      <c r="T17" s="92"/>
      <c r="U17" s="144"/>
      <c r="V17" s="368"/>
      <c r="W17" s="368"/>
      <c r="X17" s="368"/>
      <c r="Y17" s="470"/>
      <c r="AC17" s="36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68" t="s">
        <v>2371</v>
      </c>
      <c r="B18" s="469"/>
      <c r="C18" s="11" t="s">
        <v>15</v>
      </c>
      <c r="D18" s="400" t="str">
        <f>(IFERROR(VLOOKUP(A18,List!$H$1:$I$2804,2,FALSE),""))</f>
        <v>UL</v>
      </c>
      <c r="E18" s="400"/>
      <c r="F18" s="400"/>
      <c r="G18" s="362"/>
      <c r="H18" s="108"/>
      <c r="I18" s="93"/>
      <c r="J18" s="93"/>
      <c r="K18" s="109"/>
      <c r="L18" s="108"/>
      <c r="M18" s="93"/>
      <c r="N18" s="93"/>
      <c r="O18" s="109"/>
      <c r="P18" s="108"/>
      <c r="Q18" s="93"/>
      <c r="R18" s="93"/>
      <c r="S18" s="109">
        <v>5</v>
      </c>
      <c r="T18" s="92"/>
      <c r="U18" s="144"/>
      <c r="V18" s="368"/>
      <c r="W18" s="368"/>
      <c r="X18" s="368"/>
      <c r="Y18" s="470"/>
      <c r="AC18" s="36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68" t="s">
        <v>1425</v>
      </c>
      <c r="B19" s="469"/>
      <c r="C19" s="11" t="s">
        <v>15</v>
      </c>
      <c r="D19" s="400" t="str">
        <f>(IFERROR(VLOOKUP(A19,List!$H$1:$I$2804,2,FALSE),""))</f>
        <v>FAC</v>
      </c>
      <c r="E19" s="400"/>
      <c r="F19" s="400"/>
      <c r="G19" s="362"/>
      <c r="H19" s="108"/>
      <c r="I19" s="93"/>
      <c r="J19" s="93"/>
      <c r="K19" s="109"/>
      <c r="L19" s="108"/>
      <c r="M19" s="93"/>
      <c r="N19" s="93"/>
      <c r="O19" s="109"/>
      <c r="P19" s="108"/>
      <c r="Q19" s="93"/>
      <c r="R19" s="93">
        <v>5</v>
      </c>
      <c r="S19" s="109"/>
      <c r="T19" s="92"/>
      <c r="U19" s="144"/>
      <c r="V19" s="368"/>
      <c r="W19" s="368"/>
      <c r="X19" s="368"/>
      <c r="Y19" s="470"/>
      <c r="AC19" s="36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68" t="s">
        <v>891</v>
      </c>
      <c r="B20" s="469"/>
      <c r="C20" s="11" t="s">
        <v>15</v>
      </c>
      <c r="D20" s="400" t="str">
        <f>(IFERROR(VLOOKUP(A20,List!$H$1:$I$2804,2,FALSE),""))</f>
        <v>FACW</v>
      </c>
      <c r="E20" s="400"/>
      <c r="F20" s="400"/>
      <c r="G20" s="362"/>
      <c r="H20" s="108"/>
      <c r="I20" s="93"/>
      <c r="J20" s="93"/>
      <c r="K20" s="109"/>
      <c r="L20" s="108"/>
      <c r="M20" s="93"/>
      <c r="N20" s="93"/>
      <c r="O20" s="109"/>
      <c r="P20" s="108"/>
      <c r="Q20" s="93">
        <v>5</v>
      </c>
      <c r="R20" s="93"/>
      <c r="S20" s="109"/>
      <c r="T20" s="92"/>
      <c r="U20" s="144"/>
      <c r="V20" s="368"/>
      <c r="W20" s="368"/>
      <c r="X20" s="368"/>
      <c r="Y20" s="470"/>
      <c r="AC20" s="36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68" t="s">
        <v>840</v>
      </c>
      <c r="B21" s="469"/>
      <c r="C21" s="11" t="s">
        <v>15</v>
      </c>
      <c r="D21" s="400" t="str">
        <f>(IFERROR(VLOOKUP(A21,List!$H$1:$I$2804,2,FALSE),""))</f>
        <v>FACW</v>
      </c>
      <c r="E21" s="400"/>
      <c r="F21" s="400"/>
      <c r="G21" s="362"/>
      <c r="H21" s="108"/>
      <c r="I21" s="93"/>
      <c r="J21" s="93"/>
      <c r="K21" s="109"/>
      <c r="L21" s="108"/>
      <c r="M21" s="93"/>
      <c r="N21" s="93"/>
      <c r="O21" s="109"/>
      <c r="P21" s="108"/>
      <c r="Q21" s="93">
        <v>5</v>
      </c>
      <c r="R21" s="93"/>
      <c r="S21" s="109"/>
      <c r="T21" s="92"/>
      <c r="U21" s="144"/>
      <c r="V21" s="368"/>
      <c r="W21" s="368"/>
      <c r="X21" s="368"/>
      <c r="Y21" s="470"/>
      <c r="AC21" s="36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68" t="s">
        <v>1284</v>
      </c>
      <c r="B22" s="469"/>
      <c r="C22" s="11" t="s">
        <v>15</v>
      </c>
      <c r="D22" s="400" t="str">
        <f>(IFERROR(VLOOKUP(A22,List!$H$1:$I$2804,2,FALSE),""))</f>
        <v>OBL</v>
      </c>
      <c r="E22" s="400"/>
      <c r="F22" s="400"/>
      <c r="G22" s="362"/>
      <c r="H22" s="108"/>
      <c r="I22" s="93"/>
      <c r="J22" s="93"/>
      <c r="K22" s="109"/>
      <c r="L22" s="108"/>
      <c r="M22" s="93"/>
      <c r="N22" s="93"/>
      <c r="O22" s="109"/>
      <c r="P22" s="108">
        <v>3</v>
      </c>
      <c r="Q22" s="93"/>
      <c r="R22" s="93"/>
      <c r="S22" s="109"/>
      <c r="T22" s="92"/>
      <c r="U22" s="144"/>
      <c r="V22" s="368"/>
      <c r="W22" s="368"/>
      <c r="X22" s="368"/>
      <c r="Y22" s="470"/>
      <c r="AC22" s="20"/>
    </row>
    <row r="23" spans="1:32" ht="16.5" customHeight="1" thickTop="1" thickBot="1">
      <c r="A23" s="468" t="s">
        <v>1319</v>
      </c>
      <c r="B23" s="469"/>
      <c r="C23" s="11" t="s">
        <v>15</v>
      </c>
      <c r="D23" s="400" t="str">
        <f>(IFERROR(VLOOKUP(A23,List!$H$1:$I$2804,2,FALSE),""))</f>
        <v>UL</v>
      </c>
      <c r="E23" s="400"/>
      <c r="F23" s="400"/>
      <c r="G23" s="362"/>
      <c r="H23" s="108"/>
      <c r="I23" s="93"/>
      <c r="J23" s="93"/>
      <c r="K23" s="109"/>
      <c r="L23" s="108"/>
      <c r="M23" s="93"/>
      <c r="N23" s="93"/>
      <c r="O23" s="109"/>
      <c r="P23" s="108"/>
      <c r="Q23" s="93"/>
      <c r="R23" s="93"/>
      <c r="S23" s="109">
        <v>2</v>
      </c>
      <c r="T23" s="92"/>
      <c r="U23" s="144"/>
      <c r="V23" s="368"/>
      <c r="W23" s="368"/>
      <c r="X23" s="368"/>
      <c r="Y23" s="470"/>
      <c r="AC23" s="36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68" t="s">
        <v>2146</v>
      </c>
      <c r="B24" s="469"/>
      <c r="C24" s="11" t="s">
        <v>15</v>
      </c>
      <c r="D24" s="400" t="str">
        <f>(IFERROR(VLOOKUP(A24,List!$H$1:$I$2804,2,FALSE),""))</f>
        <v>FACW</v>
      </c>
      <c r="E24" s="400"/>
      <c r="F24" s="400"/>
      <c r="G24" s="362"/>
      <c r="H24" s="108"/>
      <c r="I24" s="93"/>
      <c r="J24" s="93"/>
      <c r="K24" s="109"/>
      <c r="L24" s="108"/>
      <c r="M24" s="93"/>
      <c r="N24" s="93"/>
      <c r="O24" s="109"/>
      <c r="P24" s="108"/>
      <c r="Q24" s="93">
        <v>1</v>
      </c>
      <c r="R24" s="93"/>
      <c r="S24" s="109"/>
      <c r="T24" s="92"/>
      <c r="U24" s="144"/>
      <c r="V24" s="368"/>
      <c r="W24" s="368"/>
      <c r="X24" s="368"/>
      <c r="Y24" s="470"/>
      <c r="AC24" s="36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68" t="s">
        <v>1568</v>
      </c>
      <c r="B25" s="469"/>
      <c r="C25" s="11" t="s">
        <v>15</v>
      </c>
      <c r="D25" s="400" t="str">
        <f>(IFERROR(VLOOKUP(A25,List!$H$1:$I$2804,2,FALSE),""))</f>
        <v>OBL</v>
      </c>
      <c r="E25" s="400"/>
      <c r="F25" s="400"/>
      <c r="G25" s="362"/>
      <c r="H25" s="108"/>
      <c r="I25" s="93"/>
      <c r="J25" s="93"/>
      <c r="K25" s="109"/>
      <c r="L25" s="108"/>
      <c r="M25" s="93"/>
      <c r="N25" s="93"/>
      <c r="O25" s="109"/>
      <c r="P25" s="108">
        <v>1</v>
      </c>
      <c r="Q25" s="93"/>
      <c r="R25" s="93"/>
      <c r="S25" s="109"/>
      <c r="T25" s="92"/>
      <c r="U25" s="144"/>
      <c r="V25" s="368"/>
      <c r="W25" s="368"/>
      <c r="X25" s="368"/>
      <c r="Y25" s="470"/>
      <c r="AC25" s="36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68" t="s">
        <v>2175</v>
      </c>
      <c r="B26" s="469"/>
      <c r="C26" s="11" t="s">
        <v>15</v>
      </c>
      <c r="D26" s="400" t="str">
        <f>(IFERROR(VLOOKUP(A26,List!$H$1:$I$2804,2,FALSE),""))</f>
        <v>FACW</v>
      </c>
      <c r="E26" s="400"/>
      <c r="F26" s="400"/>
      <c r="G26" s="362"/>
      <c r="H26" s="108"/>
      <c r="I26" s="93"/>
      <c r="J26" s="93"/>
      <c r="K26" s="109"/>
      <c r="L26" s="108"/>
      <c r="M26" s="93"/>
      <c r="N26" s="93"/>
      <c r="O26" s="109"/>
      <c r="P26" s="108"/>
      <c r="Q26" s="93">
        <v>1</v>
      </c>
      <c r="R26" s="93"/>
      <c r="S26" s="109"/>
      <c r="T26" s="92"/>
      <c r="U26" s="144"/>
      <c r="V26" s="368"/>
      <c r="W26" s="368"/>
      <c r="X26" s="368"/>
      <c r="Y26" s="470"/>
      <c r="AC26" s="36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68"/>
      <c r="B27" s="469"/>
      <c r="C27" s="11" t="s">
        <v>15</v>
      </c>
      <c r="D27" s="400" t="str">
        <f>(IFERROR(VLOOKUP(A27,List!$H$1:$I$2804,2,FALSE),""))</f>
        <v/>
      </c>
      <c r="E27" s="400"/>
      <c r="F27" s="400"/>
      <c r="G27" s="362"/>
      <c r="H27" s="108"/>
      <c r="I27" s="93"/>
      <c r="J27" s="93"/>
      <c r="K27" s="109"/>
      <c r="L27" s="108"/>
      <c r="M27" s="93"/>
      <c r="N27" s="93"/>
      <c r="O27" s="109"/>
      <c r="P27" s="108"/>
      <c r="Q27" s="93"/>
      <c r="R27" s="93"/>
      <c r="S27" s="109"/>
      <c r="T27" s="92"/>
      <c r="U27" s="144"/>
      <c r="V27" s="368"/>
      <c r="W27" s="368"/>
      <c r="X27" s="368"/>
      <c r="Y27" s="470"/>
      <c r="AC27" s="36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68"/>
      <c r="B28" s="469"/>
      <c r="C28" s="11" t="s">
        <v>15</v>
      </c>
      <c r="D28" s="400" t="str">
        <f>(IFERROR(VLOOKUP(A28,List!$H$1:$I$2804,2,FALSE),""))</f>
        <v/>
      </c>
      <c r="E28" s="400"/>
      <c r="F28" s="400"/>
      <c r="G28" s="362"/>
      <c r="H28" s="108"/>
      <c r="I28" s="93"/>
      <c r="J28" s="93"/>
      <c r="K28" s="109"/>
      <c r="L28" s="108"/>
      <c r="M28" s="93"/>
      <c r="N28" s="93"/>
      <c r="O28" s="109"/>
      <c r="P28" s="108"/>
      <c r="Q28" s="93"/>
      <c r="R28" s="93"/>
      <c r="S28" s="109"/>
      <c r="T28" s="92"/>
      <c r="U28" s="144"/>
      <c r="V28" s="368"/>
      <c r="W28" s="368"/>
      <c r="X28" s="368"/>
      <c r="Y28" s="470"/>
      <c r="AC28" s="36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68"/>
      <c r="B29" s="469"/>
      <c r="C29" s="11" t="s">
        <v>15</v>
      </c>
      <c r="D29" s="400" t="str">
        <f>(IFERROR(VLOOKUP(A29,List!$H$1:$I$2804,2,FALSE),""))</f>
        <v/>
      </c>
      <c r="E29" s="400"/>
      <c r="F29" s="400"/>
      <c r="G29" s="362"/>
      <c r="H29" s="108"/>
      <c r="I29" s="93"/>
      <c r="J29" s="93"/>
      <c r="K29" s="109"/>
      <c r="L29" s="108"/>
      <c r="M29" s="93"/>
      <c r="N29" s="93"/>
      <c r="O29" s="109"/>
      <c r="P29" s="108"/>
      <c r="Q29" s="93"/>
      <c r="R29" s="93"/>
      <c r="S29" s="109"/>
      <c r="T29" s="92"/>
      <c r="U29" s="144"/>
      <c r="V29" s="368"/>
      <c r="W29" s="368"/>
      <c r="X29" s="368"/>
      <c r="Y29" s="470"/>
      <c r="AC29" s="36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68"/>
      <c r="B30" s="469"/>
      <c r="C30" s="11" t="s">
        <v>15</v>
      </c>
      <c r="D30" s="400" t="str">
        <f>(IFERROR(VLOOKUP(A30,List!$H$1:$I$2804,2,FALSE),""))</f>
        <v/>
      </c>
      <c r="E30" s="400"/>
      <c r="F30" s="400"/>
      <c r="G30" s="362"/>
      <c r="H30" s="108"/>
      <c r="I30" s="93"/>
      <c r="J30" s="93"/>
      <c r="K30" s="109"/>
      <c r="L30" s="108"/>
      <c r="M30" s="93"/>
      <c r="N30" s="93"/>
      <c r="O30" s="109"/>
      <c r="P30" s="108"/>
      <c r="Q30" s="93"/>
      <c r="R30" s="93"/>
      <c r="S30" s="109"/>
      <c r="T30" s="92"/>
      <c r="U30" s="144"/>
      <c r="V30" s="368"/>
      <c r="W30" s="368"/>
      <c r="X30" s="368"/>
      <c r="Y30" s="470"/>
      <c r="AC30" s="36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68"/>
      <c r="B31" s="469"/>
      <c r="C31" s="11" t="s">
        <v>15</v>
      </c>
      <c r="D31" s="400" t="str">
        <f>(IFERROR(VLOOKUP(A31,List!$H$1:$I$2804,2,FALSE),""))</f>
        <v/>
      </c>
      <c r="E31" s="400"/>
      <c r="F31" s="400"/>
      <c r="G31" s="362"/>
      <c r="H31" s="108"/>
      <c r="I31" s="93"/>
      <c r="J31" s="93"/>
      <c r="K31" s="109"/>
      <c r="L31" s="108"/>
      <c r="M31" s="93"/>
      <c r="N31" s="93"/>
      <c r="O31" s="109"/>
      <c r="P31" s="108"/>
      <c r="Q31" s="93"/>
      <c r="R31" s="93"/>
      <c r="S31" s="109"/>
      <c r="T31" s="92"/>
      <c r="U31" s="144"/>
      <c r="V31" s="368"/>
      <c r="W31" s="368"/>
      <c r="X31" s="368"/>
      <c r="Y31" s="470"/>
      <c r="AC31" s="36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68"/>
      <c r="B32" s="469"/>
      <c r="C32" s="11" t="s">
        <v>15</v>
      </c>
      <c r="D32" s="400" t="str">
        <f>(IFERROR(VLOOKUP(A32,List!$H$1:$I$2804,2,FALSE),""))</f>
        <v/>
      </c>
      <c r="E32" s="400"/>
      <c r="F32" s="400"/>
      <c r="G32" s="362"/>
      <c r="H32" s="108"/>
      <c r="I32" s="93"/>
      <c r="J32" s="93"/>
      <c r="K32" s="109"/>
      <c r="L32" s="108"/>
      <c r="M32" s="93"/>
      <c r="N32" s="93"/>
      <c r="O32" s="109"/>
      <c r="P32" s="108"/>
      <c r="Q32" s="93"/>
      <c r="R32" s="93"/>
      <c r="S32" s="109"/>
      <c r="T32" s="92"/>
      <c r="U32" s="144"/>
      <c r="V32" s="368"/>
      <c r="W32" s="368"/>
      <c r="X32" s="368"/>
      <c r="Y32" s="470"/>
      <c r="AC32" s="36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68"/>
      <c r="B33" s="469"/>
      <c r="C33" s="11" t="s">
        <v>15</v>
      </c>
      <c r="D33" s="400" t="str">
        <f>(IFERROR(VLOOKUP(A33,List!$H$1:$I$2804,2,FALSE),""))</f>
        <v/>
      </c>
      <c r="E33" s="400"/>
      <c r="F33" s="400"/>
      <c r="G33" s="362"/>
      <c r="H33" s="108"/>
      <c r="I33" s="93"/>
      <c r="J33" s="93"/>
      <c r="K33" s="109"/>
      <c r="L33" s="108"/>
      <c r="M33" s="93"/>
      <c r="N33" s="93"/>
      <c r="O33" s="109"/>
      <c r="P33" s="108"/>
      <c r="Q33" s="93"/>
      <c r="R33" s="93"/>
      <c r="S33" s="109"/>
      <c r="T33" s="92"/>
      <c r="U33" s="144"/>
      <c r="V33" s="368"/>
      <c r="W33" s="368"/>
      <c r="X33" s="368"/>
      <c r="Y33" s="470"/>
      <c r="AC33" s="36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68"/>
      <c r="B34" s="469"/>
      <c r="C34" s="11" t="s">
        <v>15</v>
      </c>
      <c r="D34" s="400" t="str">
        <f>(IFERROR(VLOOKUP(A34,List!$H$1:$I$2804,2,FALSE),""))</f>
        <v/>
      </c>
      <c r="E34" s="400"/>
      <c r="F34" s="400"/>
      <c r="G34" s="362"/>
      <c r="H34" s="108"/>
      <c r="I34" s="93"/>
      <c r="J34" s="93"/>
      <c r="K34" s="109"/>
      <c r="L34" s="108"/>
      <c r="M34" s="93"/>
      <c r="N34" s="93"/>
      <c r="O34" s="109"/>
      <c r="P34" s="108"/>
      <c r="Q34" s="93"/>
      <c r="R34" s="93"/>
      <c r="S34" s="109"/>
      <c r="T34" s="92"/>
      <c r="U34" s="144"/>
      <c r="V34" s="368"/>
      <c r="W34" s="368"/>
      <c r="X34" s="368"/>
      <c r="Y34" s="470"/>
      <c r="AC34" s="36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68"/>
      <c r="B35" s="469"/>
      <c r="C35" s="11" t="s">
        <v>15</v>
      </c>
      <c r="D35" s="400" t="str">
        <f>(IFERROR(VLOOKUP(A35,List!$H$1:$I$2804,2,FALSE),""))</f>
        <v/>
      </c>
      <c r="E35" s="400"/>
      <c r="F35" s="400"/>
      <c r="G35" s="362"/>
      <c r="H35" s="108"/>
      <c r="I35" s="93"/>
      <c r="J35" s="93"/>
      <c r="K35" s="109"/>
      <c r="L35" s="108"/>
      <c r="M35" s="93"/>
      <c r="N35" s="93"/>
      <c r="O35" s="109"/>
      <c r="P35" s="108"/>
      <c r="Q35" s="93"/>
      <c r="R35" s="93"/>
      <c r="S35" s="109"/>
      <c r="T35" s="92"/>
      <c r="U35" s="144"/>
      <c r="V35" s="368"/>
      <c r="W35" s="368"/>
      <c r="X35" s="368"/>
      <c r="Y35" s="470"/>
      <c r="AC35" s="36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68"/>
      <c r="B36" s="469"/>
      <c r="C36" s="11" t="s">
        <v>15</v>
      </c>
      <c r="D36" s="400" t="str">
        <f>(IFERROR(VLOOKUP(A36,List!$H$1:$I$2804,2,FALSE),""))</f>
        <v/>
      </c>
      <c r="E36" s="400"/>
      <c r="F36" s="400"/>
      <c r="G36" s="362"/>
      <c r="H36" s="108"/>
      <c r="I36" s="93"/>
      <c r="J36" s="93"/>
      <c r="K36" s="109"/>
      <c r="L36" s="108"/>
      <c r="M36" s="93"/>
      <c r="N36" s="93"/>
      <c r="O36" s="109"/>
      <c r="P36" s="108"/>
      <c r="Q36" s="93"/>
      <c r="R36" s="93"/>
      <c r="S36" s="109"/>
      <c r="T36" s="92"/>
      <c r="U36" s="144"/>
      <c r="V36" s="368"/>
      <c r="W36" s="368"/>
      <c r="X36" s="368"/>
      <c r="Y36" s="470"/>
      <c r="AC36" s="36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68"/>
      <c r="B37" s="469"/>
      <c r="C37" s="11" t="s">
        <v>15</v>
      </c>
      <c r="D37" s="400" t="str">
        <f>(IFERROR(VLOOKUP(A37,List!$H$1:$I$2804,2,FALSE),""))</f>
        <v/>
      </c>
      <c r="E37" s="400"/>
      <c r="F37" s="400"/>
      <c r="G37" s="362"/>
      <c r="H37" s="108"/>
      <c r="I37" s="93"/>
      <c r="J37" s="93"/>
      <c r="K37" s="109"/>
      <c r="L37" s="108"/>
      <c r="M37" s="93"/>
      <c r="N37" s="93"/>
      <c r="O37" s="109"/>
      <c r="P37" s="108"/>
      <c r="Q37" s="93"/>
      <c r="R37" s="93"/>
      <c r="S37" s="109"/>
      <c r="T37" s="92"/>
      <c r="U37" s="144"/>
      <c r="V37" s="368"/>
      <c r="W37" s="368"/>
      <c r="X37" s="368"/>
      <c r="Y37" s="470"/>
      <c r="AC37" s="36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68"/>
      <c r="B38" s="469"/>
      <c r="C38" s="11" t="s">
        <v>15</v>
      </c>
      <c r="D38" s="400" t="str">
        <f>(IFERROR(VLOOKUP(A38,List!$H$1:$I$2804,2,FALSE),""))</f>
        <v/>
      </c>
      <c r="E38" s="400"/>
      <c r="F38" s="400"/>
      <c r="G38" s="362"/>
      <c r="H38" s="108"/>
      <c r="I38" s="93"/>
      <c r="J38" s="93"/>
      <c r="K38" s="109"/>
      <c r="L38" s="108"/>
      <c r="M38" s="93"/>
      <c r="N38" s="93"/>
      <c r="O38" s="109"/>
      <c r="P38" s="108"/>
      <c r="Q38" s="93"/>
      <c r="R38" s="93"/>
      <c r="S38" s="109"/>
      <c r="T38" s="92"/>
      <c r="U38" s="144"/>
      <c r="V38" s="368"/>
      <c r="W38" s="368"/>
      <c r="X38" s="368"/>
      <c r="Y38" s="470"/>
      <c r="AC38" s="36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68"/>
      <c r="B39" s="469"/>
      <c r="C39" s="11" t="s">
        <v>15</v>
      </c>
      <c r="D39" s="400" t="str">
        <f>(IFERROR(VLOOKUP(A39,List!$H$1:$I$2804,2,FALSE),""))</f>
        <v/>
      </c>
      <c r="E39" s="400"/>
      <c r="F39" s="400"/>
      <c r="G39" s="362"/>
      <c r="H39" s="108"/>
      <c r="I39" s="93"/>
      <c r="J39" s="93"/>
      <c r="K39" s="109"/>
      <c r="L39" s="108"/>
      <c r="M39" s="93"/>
      <c r="N39" s="93"/>
      <c r="O39" s="109"/>
      <c r="P39" s="108"/>
      <c r="Q39" s="93"/>
      <c r="R39" s="93"/>
      <c r="S39" s="109"/>
      <c r="T39" s="92"/>
      <c r="U39" s="144"/>
      <c r="V39" s="368"/>
      <c r="W39" s="368"/>
      <c r="X39" s="368"/>
      <c r="Y39" s="470"/>
      <c r="AC39" s="36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68"/>
      <c r="B40" s="469"/>
      <c r="C40" s="11" t="s">
        <v>15</v>
      </c>
      <c r="D40" s="471" t="str">
        <f>(IFERROR(VLOOKUP(A40,List!$H$1:$I$2804,2,FALSE),""))</f>
        <v/>
      </c>
      <c r="E40" s="472"/>
      <c r="F40" s="472"/>
      <c r="G40" s="472"/>
      <c r="H40" s="110"/>
      <c r="I40" s="102"/>
      <c r="J40" s="102"/>
      <c r="K40" s="111"/>
      <c r="L40" s="110"/>
      <c r="M40" s="102"/>
      <c r="N40" s="102"/>
      <c r="O40" s="111"/>
      <c r="P40" s="110"/>
      <c r="Q40" s="102"/>
      <c r="R40" s="102"/>
      <c r="S40" s="111"/>
      <c r="T40" s="105"/>
      <c r="U40" s="146"/>
      <c r="V40" s="473"/>
      <c r="W40" s="473"/>
      <c r="X40" s="473"/>
      <c r="Y40" s="474"/>
      <c r="AC40" s="36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4"/>
      <c r="B41" s="444"/>
      <c r="C41" s="445" t="s">
        <v>2892</v>
      </c>
      <c r="D41" s="446"/>
      <c r="E41" s="446"/>
      <c r="F41" s="446"/>
      <c r="G41" s="447"/>
      <c r="H41" s="212">
        <f>SUM(H13:H40)</f>
        <v>0</v>
      </c>
      <c r="I41" s="213">
        <f t="shared" ref="I41:S41" si="0">SUM(I13:I40)</f>
        <v>0</v>
      </c>
      <c r="J41" s="213">
        <f t="shared" si="0"/>
        <v>0</v>
      </c>
      <c r="K41" s="214">
        <f t="shared" si="0"/>
        <v>0</v>
      </c>
      <c r="L41" s="215">
        <f t="shared" si="0"/>
        <v>0</v>
      </c>
      <c r="M41" s="213">
        <f t="shared" si="0"/>
        <v>0</v>
      </c>
      <c r="N41" s="213">
        <f t="shared" si="0"/>
        <v>0</v>
      </c>
      <c r="O41" s="214">
        <f t="shared" si="0"/>
        <v>0</v>
      </c>
      <c r="P41" s="216">
        <f t="shared" si="0"/>
        <v>14</v>
      </c>
      <c r="Q41" s="116">
        <f t="shared" si="0"/>
        <v>49</v>
      </c>
      <c r="R41" s="116">
        <f t="shared" si="0"/>
        <v>20</v>
      </c>
      <c r="S41" s="117">
        <f t="shared" si="0"/>
        <v>7</v>
      </c>
      <c r="T41" s="100"/>
      <c r="U41" s="100"/>
      <c r="V41" s="100"/>
      <c r="W41" s="100"/>
      <c r="X41" s="115"/>
      <c r="Y41" s="114"/>
    </row>
    <row r="42" spans="1:32" ht="15.75" customHeight="1" thickTop="1">
      <c r="A42" s="80" t="s">
        <v>2862</v>
      </c>
      <c r="B42" s="81"/>
      <c r="C42" s="113"/>
      <c r="D42" s="448" t="s">
        <v>2863</v>
      </c>
      <c r="E42" s="448"/>
      <c r="F42" s="448"/>
      <c r="G42" s="448"/>
      <c r="H42" s="449"/>
      <c r="I42" s="450"/>
      <c r="J42" s="450"/>
      <c r="K42" s="450"/>
      <c r="L42" s="450"/>
      <c r="M42" s="450"/>
      <c r="N42" s="450"/>
      <c r="O42" s="450"/>
      <c r="P42" s="451"/>
      <c r="Q42" s="450" t="s">
        <v>2899</v>
      </c>
      <c r="R42" s="450"/>
      <c r="S42" s="450"/>
      <c r="T42" s="458" t="s">
        <v>2870</v>
      </c>
      <c r="U42" s="459"/>
      <c r="V42" s="460"/>
      <c r="W42" s="118" t="s">
        <v>2893</v>
      </c>
      <c r="X42" s="462" t="s">
        <v>2894</v>
      </c>
      <c r="Y42" s="119"/>
      <c r="AC42" s="36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65" t="s">
        <v>2864</v>
      </c>
      <c r="B43" s="66"/>
      <c r="C43" s="67"/>
      <c r="D43" s="463"/>
      <c r="E43" s="464"/>
      <c r="F43" s="464"/>
      <c r="G43" s="464"/>
      <c r="H43" s="452"/>
      <c r="I43" s="453"/>
      <c r="J43" s="453"/>
      <c r="K43" s="453"/>
      <c r="L43" s="453"/>
      <c r="M43" s="453"/>
      <c r="N43" s="453"/>
      <c r="O43" s="453"/>
      <c r="P43" s="454"/>
      <c r="Q43" s="180"/>
      <c r="R43" s="180"/>
      <c r="S43" s="180"/>
      <c r="T43" s="466"/>
      <c r="U43" s="464"/>
      <c r="V43" s="461"/>
      <c r="W43" s="98"/>
      <c r="X43" s="462"/>
      <c r="Y43" s="120"/>
      <c r="AC43" s="36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68" t="s">
        <v>2865</v>
      </c>
      <c r="B44" s="69"/>
      <c r="C44" s="66"/>
      <c r="D44" s="464"/>
      <c r="E44" s="464"/>
      <c r="F44" s="464"/>
      <c r="G44" s="464"/>
      <c r="H44" s="452"/>
      <c r="I44" s="453"/>
      <c r="J44" s="453"/>
      <c r="K44" s="453"/>
      <c r="L44" s="453"/>
      <c r="M44" s="453"/>
      <c r="N44" s="453"/>
      <c r="O44" s="453"/>
      <c r="P44" s="454"/>
      <c r="Q44" s="180"/>
      <c r="R44" s="180"/>
      <c r="S44" s="180"/>
      <c r="T44" s="464"/>
      <c r="U44" s="464"/>
      <c r="V44" s="461"/>
      <c r="W44" s="271" t="s">
        <v>3023</v>
      </c>
      <c r="X44" s="467"/>
      <c r="Y44" s="443"/>
      <c r="AC44" s="36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68" t="s">
        <v>2866</v>
      </c>
      <c r="B45" s="70"/>
      <c r="C45" s="66"/>
      <c r="D45" s="464"/>
      <c r="E45" s="464"/>
      <c r="F45" s="464"/>
      <c r="G45" s="464"/>
      <c r="H45" s="452"/>
      <c r="I45" s="453"/>
      <c r="J45" s="453"/>
      <c r="K45" s="453"/>
      <c r="L45" s="453"/>
      <c r="M45" s="453"/>
      <c r="N45" s="453"/>
      <c r="O45" s="453"/>
      <c r="P45" s="454"/>
      <c r="Q45" s="180"/>
      <c r="R45" s="180"/>
      <c r="S45" s="180"/>
      <c r="T45" s="464"/>
      <c r="U45" s="464"/>
      <c r="V45" s="147" t="s">
        <v>2884</v>
      </c>
      <c r="W45" s="98"/>
      <c r="X45" s="467"/>
      <c r="Y45" s="443"/>
      <c r="AC45" s="36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71" t="s">
        <v>2867</v>
      </c>
      <c r="B46" s="72"/>
      <c r="C46" s="73"/>
      <c r="D46" s="465"/>
      <c r="E46" s="465"/>
      <c r="F46" s="465"/>
      <c r="G46" s="465"/>
      <c r="H46" s="455"/>
      <c r="I46" s="456"/>
      <c r="J46" s="456"/>
      <c r="K46" s="456"/>
      <c r="L46" s="456"/>
      <c r="M46" s="456"/>
      <c r="N46" s="456"/>
      <c r="O46" s="456"/>
      <c r="P46" s="457"/>
      <c r="Q46" s="181"/>
      <c r="R46" s="181"/>
      <c r="S46" s="181"/>
      <c r="T46" s="465"/>
      <c r="U46" s="465"/>
      <c r="V46" s="79"/>
      <c r="W46" s="148" t="s">
        <v>3022</v>
      </c>
      <c r="X46" s="163" t="s">
        <v>6</v>
      </c>
      <c r="Y46" s="149"/>
      <c r="AC46" s="36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321" t="s">
        <v>2881</v>
      </c>
      <c r="B47" s="322"/>
      <c r="C47" s="322"/>
      <c r="D47" s="322"/>
      <c r="E47" s="322"/>
      <c r="F47" s="322"/>
      <c r="G47" s="322"/>
      <c r="H47" s="531"/>
      <c r="I47" s="531"/>
      <c r="J47" s="531"/>
      <c r="K47" s="531"/>
      <c r="L47" s="531"/>
      <c r="M47" s="531"/>
      <c r="N47" s="531"/>
      <c r="O47" s="531"/>
      <c r="P47" s="531"/>
      <c r="Q47" s="322"/>
      <c r="R47" s="322"/>
      <c r="S47" s="322"/>
      <c r="T47" s="322"/>
      <c r="U47" s="322"/>
      <c r="V47" s="322"/>
      <c r="W47" s="322"/>
      <c r="X47" s="322"/>
      <c r="Y47" s="324"/>
      <c r="AC47" s="36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6.5" thickTop="1" thickBot="1">
      <c r="A48" s="165" t="s">
        <v>5</v>
      </c>
      <c r="B48" s="78"/>
      <c r="C48" s="260"/>
      <c r="D48" s="260" t="s">
        <v>2847</v>
      </c>
      <c r="E48" s="537" t="s">
        <v>3017</v>
      </c>
      <c r="F48" s="301"/>
      <c r="G48" s="301"/>
      <c r="H48" s="301"/>
      <c r="I48" s="301"/>
      <c r="J48" s="301"/>
      <c r="K48" s="301"/>
      <c r="L48" s="301"/>
      <c r="M48" s="301"/>
      <c r="N48" s="301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538"/>
      <c r="AC48" s="36">
        <f ca="1">IF(ISNUMBER(SEARCH($AB$2,AD48)),MAX($AC$2:AC49)+1,0)</f>
        <v>0</v>
      </c>
      <c r="AD48" s="20" t="s">
        <v>91</v>
      </c>
      <c r="AF48" s="20" t="str">
        <f ca="1">IFERROR(VLOOKUP(ROWS($AF$4:AF49),$AC$4:$AD$2800,2,0),"")</f>
        <v/>
      </c>
    </row>
    <row r="49" spans="1:33" ht="16.5" thickTop="1" thickBot="1">
      <c r="A49" s="167" t="s">
        <v>10</v>
      </c>
      <c r="B49" s="56">
        <v>1</v>
      </c>
      <c r="C49" s="11" t="s">
        <v>15</v>
      </c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7"/>
      <c r="X49" s="7"/>
      <c r="Y49" s="6"/>
      <c r="AC49" s="36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165" t="s">
        <v>2873</v>
      </c>
      <c r="B50" s="10" t="s">
        <v>12</v>
      </c>
      <c r="C50" s="11" t="s">
        <v>15</v>
      </c>
      <c r="D50" s="217" t="s">
        <v>2869</v>
      </c>
      <c r="E50" s="517"/>
      <c r="F50" s="518"/>
      <c r="G50" s="518"/>
      <c r="H50" s="518"/>
      <c r="I50" s="518"/>
      <c r="J50" s="518"/>
      <c r="K50" s="518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518"/>
      <c r="Y50" s="541"/>
      <c r="AC50" s="36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19" t="s">
        <v>33</v>
      </c>
      <c r="B51" s="521"/>
      <c r="C51" s="521"/>
      <c r="D51" s="521"/>
      <c r="E51" s="521"/>
      <c r="F51" s="522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209" t="s">
        <v>2885</v>
      </c>
      <c r="W51" s="13"/>
      <c r="X51" s="13"/>
      <c r="Y51" s="14"/>
      <c r="AC51" s="36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07" t="s">
        <v>35</v>
      </c>
      <c r="B52" s="206" t="s">
        <v>40</v>
      </c>
      <c r="C52" s="11" t="s">
        <v>15</v>
      </c>
      <c r="D52" s="498"/>
      <c r="E52" s="499"/>
      <c r="F52" s="500"/>
      <c r="G52" s="512" t="s">
        <v>31</v>
      </c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249"/>
      <c r="V52" s="489"/>
      <c r="W52" s="490"/>
      <c r="X52" s="490"/>
      <c r="Y52" s="491"/>
      <c r="AC52" s="36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08" t="s">
        <v>2889</v>
      </c>
      <c r="B53" s="206" t="s">
        <v>41</v>
      </c>
      <c r="C53" s="11" t="s">
        <v>15</v>
      </c>
      <c r="D53" s="501"/>
      <c r="E53" s="502"/>
      <c r="F53" s="503"/>
      <c r="G53" s="504"/>
      <c r="H53" s="505"/>
      <c r="I53" s="505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249"/>
      <c r="V53" s="492"/>
      <c r="W53" s="493"/>
      <c r="X53" s="493"/>
      <c r="Y53" s="494"/>
      <c r="AC53" s="36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508" t="s">
        <v>2871</v>
      </c>
      <c r="B54" s="510"/>
      <c r="C54" s="510"/>
      <c r="D54" s="510"/>
      <c r="E54" s="510"/>
      <c r="F54" s="510"/>
      <c r="G54" s="506"/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249"/>
      <c r="V54" s="492"/>
      <c r="W54" s="493"/>
      <c r="X54" s="493"/>
      <c r="Y54" s="494"/>
      <c r="AC54" s="36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509"/>
      <c r="B55" s="511"/>
      <c r="C55" s="511"/>
      <c r="D55" s="511"/>
      <c r="E55" s="511"/>
      <c r="F55" s="511"/>
      <c r="G55" s="506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249"/>
      <c r="V55" s="495"/>
      <c r="W55" s="496"/>
      <c r="X55" s="496"/>
      <c r="Y55" s="497"/>
      <c r="AC55" s="36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542" t="s">
        <v>2843</v>
      </c>
      <c r="B56" s="542"/>
      <c r="C56" s="542"/>
      <c r="D56" s="542"/>
      <c r="E56" s="542"/>
      <c r="F56" s="542"/>
      <c r="G56" s="542"/>
      <c r="H56" s="476" t="s">
        <v>2890</v>
      </c>
      <c r="I56" s="477"/>
      <c r="J56" s="477"/>
      <c r="K56" s="478"/>
      <c r="L56" s="476" t="s">
        <v>2891</v>
      </c>
      <c r="M56" s="477"/>
      <c r="N56" s="477"/>
      <c r="O56" s="478"/>
      <c r="P56" s="476" t="s">
        <v>2914</v>
      </c>
      <c r="Q56" s="477"/>
      <c r="R56" s="477"/>
      <c r="S56" s="478"/>
      <c r="T56" s="272"/>
      <c r="U56" s="249"/>
      <c r="V56" s="273"/>
      <c r="W56" s="273"/>
      <c r="X56" s="273"/>
      <c r="Y56" s="276"/>
      <c r="AG56" s="2"/>
    </row>
    <row r="57" spans="1:33" ht="15.75" thickBot="1">
      <c r="A57" s="482" t="s">
        <v>2872</v>
      </c>
      <c r="B57" s="483"/>
      <c r="C57" s="484"/>
      <c r="D57" s="485" t="s">
        <v>2844</v>
      </c>
      <c r="E57" s="475"/>
      <c r="F57" s="475"/>
      <c r="G57" s="536"/>
      <c r="H57" s="106" t="s">
        <v>2852</v>
      </c>
      <c r="I57" s="94" t="s">
        <v>2850</v>
      </c>
      <c r="J57" s="94" t="s">
        <v>2849</v>
      </c>
      <c r="K57" s="107" t="s">
        <v>2851</v>
      </c>
      <c r="L57" s="106" t="s">
        <v>2852</v>
      </c>
      <c r="M57" s="94" t="s">
        <v>2850</v>
      </c>
      <c r="N57" s="94" t="s">
        <v>2849</v>
      </c>
      <c r="O57" s="107" t="s">
        <v>2851</v>
      </c>
      <c r="P57" s="106" t="s">
        <v>2852</v>
      </c>
      <c r="Q57" s="94" t="s">
        <v>2850</v>
      </c>
      <c r="R57" s="94" t="s">
        <v>2849</v>
      </c>
      <c r="S57" s="145" t="s">
        <v>2851</v>
      </c>
      <c r="T57" s="74"/>
      <c r="U57" s="74"/>
      <c r="V57" s="164"/>
      <c r="W57" s="536" t="s">
        <v>2845</v>
      </c>
      <c r="X57" s="539"/>
      <c r="Y57" s="540"/>
      <c r="AC57" s="36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68" t="s">
        <v>1425</v>
      </c>
      <c r="B58" s="469"/>
      <c r="C58" s="11" t="s">
        <v>15</v>
      </c>
      <c r="D58" s="400" t="str">
        <f>(IFERROR(VLOOKUP(A58,List!$H$1:$I$2804,2,FALSE),""))</f>
        <v>FAC</v>
      </c>
      <c r="E58" s="400"/>
      <c r="F58" s="400"/>
      <c r="G58" s="400"/>
      <c r="H58" s="108"/>
      <c r="I58" s="93"/>
      <c r="J58" s="93"/>
      <c r="K58" s="109"/>
      <c r="L58" s="108"/>
      <c r="M58" s="93"/>
      <c r="N58" s="93"/>
      <c r="O58" s="109"/>
      <c r="P58" s="108"/>
      <c r="Q58" s="93"/>
      <c r="R58" s="93">
        <v>25</v>
      </c>
      <c r="S58" s="144"/>
      <c r="T58" s="141"/>
      <c r="U58" s="141"/>
      <c r="V58" s="362"/>
      <c r="W58" s="368"/>
      <c r="X58" s="368"/>
      <c r="Y58" s="470"/>
      <c r="AC58" s="36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68" t="s">
        <v>156</v>
      </c>
      <c r="B59" s="469"/>
      <c r="C59" s="11" t="s">
        <v>15</v>
      </c>
      <c r="D59" s="400" t="str">
        <f>(IFERROR(VLOOKUP(A59,List!$H$1:$I$2804,2,FALSE),""))</f>
        <v>FACW</v>
      </c>
      <c r="E59" s="400"/>
      <c r="F59" s="400"/>
      <c r="G59" s="400"/>
      <c r="H59" s="108"/>
      <c r="I59" s="93"/>
      <c r="J59" s="93"/>
      <c r="K59" s="109"/>
      <c r="L59" s="108"/>
      <c r="M59" s="93"/>
      <c r="N59" s="93"/>
      <c r="O59" s="109"/>
      <c r="P59" s="108"/>
      <c r="Q59" s="93">
        <v>10</v>
      </c>
      <c r="R59" s="93"/>
      <c r="S59" s="144"/>
      <c r="T59" s="141"/>
      <c r="U59" s="141"/>
      <c r="V59" s="362"/>
      <c r="W59" s="368"/>
      <c r="X59" s="368"/>
      <c r="Y59" s="363"/>
      <c r="AC59" s="36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68" t="s">
        <v>2164</v>
      </c>
      <c r="B60" s="469"/>
      <c r="C60" s="11" t="s">
        <v>15</v>
      </c>
      <c r="D60" s="400" t="str">
        <f>(IFERROR(VLOOKUP(A60,List!$H$1:$I$2804,2,FALSE),""))</f>
        <v>OBL</v>
      </c>
      <c r="E60" s="400"/>
      <c r="F60" s="400"/>
      <c r="G60" s="400"/>
      <c r="H60" s="108"/>
      <c r="I60" s="93"/>
      <c r="J60" s="93"/>
      <c r="K60" s="109"/>
      <c r="L60" s="108"/>
      <c r="M60" s="93"/>
      <c r="N60" s="93"/>
      <c r="O60" s="109"/>
      <c r="P60" s="108">
        <v>8</v>
      </c>
      <c r="Q60" s="93"/>
      <c r="R60" s="93"/>
      <c r="S60" s="144"/>
      <c r="T60" s="141"/>
      <c r="U60" s="141"/>
      <c r="V60" s="362"/>
      <c r="W60" s="368"/>
      <c r="X60" s="368"/>
      <c r="Y60" s="363"/>
      <c r="AC60" s="36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68" t="s">
        <v>2801</v>
      </c>
      <c r="B61" s="469"/>
      <c r="C61" s="11" t="s">
        <v>15</v>
      </c>
      <c r="D61" s="400" t="str">
        <f>(IFERROR(VLOOKUP(A61,List!$H$1:$I$2804,2,FALSE),""))</f>
        <v>FACW</v>
      </c>
      <c r="E61" s="400"/>
      <c r="F61" s="400"/>
      <c r="G61" s="400"/>
      <c r="H61" s="108"/>
      <c r="I61" s="93"/>
      <c r="J61" s="93"/>
      <c r="K61" s="109"/>
      <c r="L61" s="108"/>
      <c r="M61" s="93"/>
      <c r="N61" s="93"/>
      <c r="O61" s="109"/>
      <c r="P61" s="108"/>
      <c r="Q61" s="93">
        <v>6</v>
      </c>
      <c r="R61" s="93"/>
      <c r="S61" s="144"/>
      <c r="T61" s="141"/>
      <c r="U61" s="141"/>
      <c r="V61" s="362"/>
      <c r="W61" s="368"/>
      <c r="X61" s="368"/>
      <c r="Y61" s="363"/>
      <c r="AC61" s="36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68" t="s">
        <v>2810</v>
      </c>
      <c r="B62" s="469"/>
      <c r="C62" s="11" t="s">
        <v>15</v>
      </c>
      <c r="D62" s="400" t="str">
        <f>(IFERROR(VLOOKUP(A62,List!$H$1:$I$2804,2,FALSE),""))</f>
        <v>FACW</v>
      </c>
      <c r="E62" s="400"/>
      <c r="F62" s="400"/>
      <c r="G62" s="400"/>
      <c r="H62" s="108"/>
      <c r="I62" s="93"/>
      <c r="J62" s="93"/>
      <c r="K62" s="109"/>
      <c r="L62" s="108"/>
      <c r="M62" s="93"/>
      <c r="N62" s="93"/>
      <c r="O62" s="109"/>
      <c r="P62" s="108"/>
      <c r="Q62" s="93">
        <v>6</v>
      </c>
      <c r="R62" s="93"/>
      <c r="S62" s="144"/>
      <c r="T62" s="141"/>
      <c r="U62" s="141"/>
      <c r="V62" s="362"/>
      <c r="W62" s="368"/>
      <c r="X62" s="368"/>
      <c r="Y62" s="363"/>
      <c r="AC62" s="36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68" t="s">
        <v>1284</v>
      </c>
      <c r="B63" s="469"/>
      <c r="C63" s="11" t="s">
        <v>15</v>
      </c>
      <c r="D63" s="400" t="str">
        <f>(IFERROR(VLOOKUP(A63,List!$H$1:$I$2804,2,FALSE),""))</f>
        <v>OBL</v>
      </c>
      <c r="E63" s="400"/>
      <c r="F63" s="400"/>
      <c r="G63" s="400"/>
      <c r="H63" s="108"/>
      <c r="I63" s="93"/>
      <c r="J63" s="93"/>
      <c r="K63" s="109"/>
      <c r="L63" s="108"/>
      <c r="M63" s="93"/>
      <c r="N63" s="93"/>
      <c r="O63" s="109"/>
      <c r="P63" s="108">
        <v>5</v>
      </c>
      <c r="Q63" s="93"/>
      <c r="R63" s="93"/>
      <c r="S63" s="144"/>
      <c r="T63" s="141"/>
      <c r="U63" s="141"/>
      <c r="V63" s="362"/>
      <c r="W63" s="368"/>
      <c r="X63" s="368"/>
      <c r="Y63" s="470"/>
      <c r="AC63" s="36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68" t="s">
        <v>166</v>
      </c>
      <c r="B64" s="469"/>
      <c r="C64" s="11" t="s">
        <v>15</v>
      </c>
      <c r="D64" s="400" t="str">
        <f>(IFERROR(VLOOKUP(A64,List!$H$1:$I$2804,2,FALSE),""))</f>
        <v>FAC</v>
      </c>
      <c r="E64" s="400"/>
      <c r="F64" s="400"/>
      <c r="G64" s="400"/>
      <c r="H64" s="108"/>
      <c r="I64" s="93"/>
      <c r="J64" s="93"/>
      <c r="K64" s="109"/>
      <c r="L64" s="108"/>
      <c r="M64" s="93"/>
      <c r="N64" s="93"/>
      <c r="O64" s="109"/>
      <c r="P64" s="108"/>
      <c r="Q64" s="93"/>
      <c r="R64" s="93">
        <v>4</v>
      </c>
      <c r="S64" s="144"/>
      <c r="T64" s="141"/>
      <c r="U64" s="141"/>
      <c r="V64" s="362"/>
      <c r="W64" s="368"/>
      <c r="X64" s="368"/>
      <c r="Y64" s="470"/>
      <c r="AC64" s="36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68" t="s">
        <v>840</v>
      </c>
      <c r="B65" s="469"/>
      <c r="C65" s="11" t="s">
        <v>15</v>
      </c>
      <c r="D65" s="400" t="str">
        <f>(IFERROR(VLOOKUP(A65,List!$H$1:$I$2804,2,FALSE),""))</f>
        <v>FACW</v>
      </c>
      <c r="E65" s="400"/>
      <c r="F65" s="400"/>
      <c r="G65" s="400"/>
      <c r="H65" s="108"/>
      <c r="I65" s="93"/>
      <c r="J65" s="93"/>
      <c r="K65" s="109"/>
      <c r="L65" s="108"/>
      <c r="M65" s="93"/>
      <c r="N65" s="93"/>
      <c r="O65" s="109"/>
      <c r="P65" s="108"/>
      <c r="Q65" s="93">
        <v>3</v>
      </c>
      <c r="R65" s="93"/>
      <c r="S65" s="144"/>
      <c r="T65" s="141"/>
      <c r="U65" s="141"/>
      <c r="V65" s="362"/>
      <c r="W65" s="368"/>
      <c r="X65" s="368"/>
      <c r="Y65" s="470"/>
      <c r="AC65" s="36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68" t="s">
        <v>2175</v>
      </c>
      <c r="B66" s="469"/>
      <c r="C66" s="11" t="s">
        <v>15</v>
      </c>
      <c r="D66" s="400" t="str">
        <f>(IFERROR(VLOOKUP(A66,List!$H$1:$I$2804,2,FALSE),""))</f>
        <v>FACW</v>
      </c>
      <c r="E66" s="400"/>
      <c r="F66" s="400"/>
      <c r="G66" s="400"/>
      <c r="H66" s="108"/>
      <c r="I66" s="93"/>
      <c r="J66" s="93"/>
      <c r="K66" s="109"/>
      <c r="L66" s="108"/>
      <c r="M66" s="93"/>
      <c r="N66" s="93"/>
      <c r="O66" s="109"/>
      <c r="P66" s="108"/>
      <c r="Q66" s="93">
        <v>1</v>
      </c>
      <c r="R66" s="93"/>
      <c r="S66" s="144"/>
      <c r="T66" s="141"/>
      <c r="U66" s="141"/>
      <c r="V66" s="362"/>
      <c r="W66" s="368"/>
      <c r="X66" s="368"/>
      <c r="Y66" s="470"/>
      <c r="AC66" s="36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68" t="s">
        <v>2067</v>
      </c>
      <c r="B67" s="469"/>
      <c r="C67" s="11" t="s">
        <v>15</v>
      </c>
      <c r="D67" s="400" t="str">
        <f>(IFERROR(VLOOKUP(A67,List!$H$1:$I$2804,2,FALSE),""))</f>
        <v>OBL</v>
      </c>
      <c r="E67" s="400"/>
      <c r="F67" s="400"/>
      <c r="G67" s="400"/>
      <c r="H67" s="108"/>
      <c r="I67" s="93"/>
      <c r="J67" s="93"/>
      <c r="K67" s="109"/>
      <c r="L67" s="108"/>
      <c r="M67" s="93"/>
      <c r="N67" s="93"/>
      <c r="O67" s="109"/>
      <c r="P67" s="108">
        <v>1</v>
      </c>
      <c r="Q67" s="93"/>
      <c r="R67" s="93"/>
      <c r="S67" s="144"/>
      <c r="T67" s="141"/>
      <c r="U67" s="141"/>
      <c r="V67" s="362"/>
      <c r="W67" s="368"/>
      <c r="X67" s="368"/>
      <c r="Y67" s="470"/>
      <c r="AC67" s="36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68" t="s">
        <v>891</v>
      </c>
      <c r="B68" s="469"/>
      <c r="C68" s="11" t="s">
        <v>15</v>
      </c>
      <c r="D68" s="400" t="str">
        <f>(IFERROR(VLOOKUP(A68,List!$H$1:$I$2804,2,FALSE),""))</f>
        <v>FACW</v>
      </c>
      <c r="E68" s="400"/>
      <c r="F68" s="400"/>
      <c r="G68" s="400"/>
      <c r="H68" s="108"/>
      <c r="I68" s="93"/>
      <c r="J68" s="93"/>
      <c r="K68" s="109"/>
      <c r="L68" s="108"/>
      <c r="M68" s="93"/>
      <c r="N68" s="93"/>
      <c r="O68" s="109"/>
      <c r="P68" s="108"/>
      <c r="Q68" s="93">
        <v>1</v>
      </c>
      <c r="R68" s="93"/>
      <c r="S68" s="144"/>
      <c r="T68" s="141"/>
      <c r="U68" s="141"/>
      <c r="V68" s="362"/>
      <c r="W68" s="368"/>
      <c r="X68" s="368"/>
      <c r="Y68" s="470"/>
      <c r="AC68" s="36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68"/>
      <c r="B69" s="469"/>
      <c r="C69" s="11" t="s">
        <v>15</v>
      </c>
      <c r="D69" s="400" t="str">
        <f>(IFERROR(VLOOKUP(A69,List!$H$1:$I$2804,2,FALSE),""))</f>
        <v/>
      </c>
      <c r="E69" s="400"/>
      <c r="F69" s="400"/>
      <c r="G69" s="400"/>
      <c r="H69" s="108"/>
      <c r="I69" s="93"/>
      <c r="J69" s="93"/>
      <c r="K69" s="109"/>
      <c r="L69" s="108"/>
      <c r="M69" s="93"/>
      <c r="N69" s="93"/>
      <c r="O69" s="109"/>
      <c r="P69" s="108"/>
      <c r="Q69" s="93"/>
      <c r="R69" s="93"/>
      <c r="S69" s="144"/>
      <c r="T69" s="141"/>
      <c r="U69" s="141"/>
      <c r="V69" s="362"/>
      <c r="W69" s="368"/>
      <c r="X69" s="368"/>
      <c r="Y69" s="470"/>
      <c r="AC69" s="36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68"/>
      <c r="B70" s="469"/>
      <c r="C70" s="11" t="s">
        <v>15</v>
      </c>
      <c r="D70" s="400" t="str">
        <f>(IFERROR(VLOOKUP(A70,List!$H$1:$I$2804,2,FALSE),""))</f>
        <v/>
      </c>
      <c r="E70" s="400"/>
      <c r="F70" s="400"/>
      <c r="G70" s="400"/>
      <c r="H70" s="108"/>
      <c r="I70" s="93"/>
      <c r="J70" s="93"/>
      <c r="K70" s="109"/>
      <c r="L70" s="108"/>
      <c r="M70" s="93"/>
      <c r="N70" s="93"/>
      <c r="O70" s="109"/>
      <c r="P70" s="108"/>
      <c r="Q70" s="93"/>
      <c r="R70" s="93"/>
      <c r="S70" s="144"/>
      <c r="T70" s="141"/>
      <c r="U70" s="141"/>
      <c r="V70" s="362"/>
      <c r="W70" s="368"/>
      <c r="X70" s="368"/>
      <c r="Y70" s="470"/>
      <c r="AC70" s="36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68"/>
      <c r="B71" s="469"/>
      <c r="C71" s="11" t="s">
        <v>15</v>
      </c>
      <c r="D71" s="400" t="str">
        <f>(IFERROR(VLOOKUP(A71,List!$H$1:$I$2804,2,FALSE),""))</f>
        <v/>
      </c>
      <c r="E71" s="400"/>
      <c r="F71" s="400"/>
      <c r="G71" s="400"/>
      <c r="H71" s="108"/>
      <c r="I71" s="93"/>
      <c r="J71" s="93"/>
      <c r="K71" s="109"/>
      <c r="L71" s="108"/>
      <c r="M71" s="93"/>
      <c r="N71" s="93"/>
      <c r="O71" s="109"/>
      <c r="P71" s="108"/>
      <c r="Q71" s="93"/>
      <c r="R71" s="93"/>
      <c r="S71" s="144"/>
      <c r="T71" s="141"/>
      <c r="U71" s="141"/>
      <c r="V71" s="362"/>
      <c r="W71" s="368"/>
      <c r="X71" s="368"/>
      <c r="Y71" s="470"/>
      <c r="AC71" s="36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68"/>
      <c r="B72" s="469"/>
      <c r="C72" s="11" t="s">
        <v>15</v>
      </c>
      <c r="D72" s="400" t="str">
        <f>(IFERROR(VLOOKUP(A72,List!$H$1:$I$2804,2,FALSE),""))</f>
        <v/>
      </c>
      <c r="E72" s="400"/>
      <c r="F72" s="400"/>
      <c r="G72" s="400"/>
      <c r="H72" s="108"/>
      <c r="I72" s="93"/>
      <c r="J72" s="93"/>
      <c r="K72" s="109"/>
      <c r="L72" s="108"/>
      <c r="M72" s="93"/>
      <c r="N72" s="93"/>
      <c r="O72" s="109"/>
      <c r="P72" s="108"/>
      <c r="Q72" s="93"/>
      <c r="R72" s="93"/>
      <c r="S72" s="144"/>
      <c r="T72" s="141"/>
      <c r="U72" s="141"/>
      <c r="V72" s="362"/>
      <c r="W72" s="368"/>
      <c r="X72" s="368"/>
      <c r="Y72" s="470"/>
      <c r="AC72" s="36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68"/>
      <c r="B73" s="469"/>
      <c r="C73" s="11" t="s">
        <v>15</v>
      </c>
      <c r="D73" s="400" t="str">
        <f>(IFERROR(VLOOKUP(A73,List!$H$1:$I$2804,2,FALSE),""))</f>
        <v/>
      </c>
      <c r="E73" s="400"/>
      <c r="F73" s="400"/>
      <c r="G73" s="400"/>
      <c r="H73" s="108"/>
      <c r="I73" s="93"/>
      <c r="J73" s="93"/>
      <c r="K73" s="109"/>
      <c r="L73" s="108"/>
      <c r="M73" s="93"/>
      <c r="N73" s="93"/>
      <c r="O73" s="109"/>
      <c r="P73" s="108"/>
      <c r="Q73" s="93"/>
      <c r="R73" s="93"/>
      <c r="S73" s="144"/>
      <c r="T73" s="141"/>
      <c r="U73" s="141"/>
      <c r="V73" s="362"/>
      <c r="W73" s="368"/>
      <c r="X73" s="368"/>
      <c r="Y73" s="470"/>
      <c r="AC73" s="36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68"/>
      <c r="B74" s="469"/>
      <c r="C74" s="11" t="s">
        <v>15</v>
      </c>
      <c r="D74" s="400" t="str">
        <f>(IFERROR(VLOOKUP(A74,List!$H$1:$I$2804,2,FALSE),""))</f>
        <v/>
      </c>
      <c r="E74" s="400"/>
      <c r="F74" s="400"/>
      <c r="G74" s="400"/>
      <c r="H74" s="108"/>
      <c r="I74" s="93"/>
      <c r="J74" s="93"/>
      <c r="K74" s="109"/>
      <c r="L74" s="108"/>
      <c r="M74" s="93"/>
      <c r="N74" s="93"/>
      <c r="O74" s="109"/>
      <c r="P74" s="108"/>
      <c r="Q74" s="93"/>
      <c r="R74" s="93"/>
      <c r="S74" s="144"/>
      <c r="T74" s="141"/>
      <c r="U74" s="141"/>
      <c r="V74" s="362"/>
      <c r="W74" s="368"/>
      <c r="X74" s="368"/>
      <c r="Y74" s="470"/>
      <c r="AC74" s="36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68"/>
      <c r="B75" s="469"/>
      <c r="C75" s="11" t="s">
        <v>15</v>
      </c>
      <c r="D75" s="400" t="str">
        <f>(IFERROR(VLOOKUP(A75,List!$H$1:$I$2804,2,FALSE),""))</f>
        <v/>
      </c>
      <c r="E75" s="400"/>
      <c r="F75" s="400"/>
      <c r="G75" s="400"/>
      <c r="H75" s="108"/>
      <c r="I75" s="93"/>
      <c r="J75" s="93"/>
      <c r="K75" s="109"/>
      <c r="L75" s="108"/>
      <c r="M75" s="93"/>
      <c r="N75" s="93"/>
      <c r="O75" s="109"/>
      <c r="P75" s="108"/>
      <c r="Q75" s="93"/>
      <c r="R75" s="93"/>
      <c r="S75" s="144"/>
      <c r="T75" s="141"/>
      <c r="U75" s="141"/>
      <c r="V75" s="362"/>
      <c r="W75" s="368"/>
      <c r="X75" s="368"/>
      <c r="Y75" s="470"/>
      <c r="AC75" s="36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68"/>
      <c r="B76" s="469"/>
      <c r="C76" s="11" t="s">
        <v>15</v>
      </c>
      <c r="D76" s="400" t="str">
        <f>(IFERROR(VLOOKUP(A76,List!$H$1:$I$2804,2,FALSE),""))</f>
        <v/>
      </c>
      <c r="E76" s="400"/>
      <c r="F76" s="400"/>
      <c r="G76" s="400"/>
      <c r="H76" s="108"/>
      <c r="I76" s="93"/>
      <c r="J76" s="93"/>
      <c r="K76" s="109"/>
      <c r="L76" s="108"/>
      <c r="M76" s="93"/>
      <c r="N76" s="93"/>
      <c r="O76" s="109"/>
      <c r="P76" s="108"/>
      <c r="Q76" s="93"/>
      <c r="R76" s="93"/>
      <c r="S76" s="144"/>
      <c r="T76" s="141"/>
      <c r="U76" s="141"/>
      <c r="V76" s="362"/>
      <c r="W76" s="368"/>
      <c r="X76" s="368"/>
      <c r="Y76" s="470"/>
      <c r="AC76" s="36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68"/>
      <c r="B77" s="469"/>
      <c r="C77" s="11" t="s">
        <v>15</v>
      </c>
      <c r="D77" s="400" t="str">
        <f>(IFERROR(VLOOKUP(A77,List!$H$1:$I$2804,2,FALSE),""))</f>
        <v/>
      </c>
      <c r="E77" s="400"/>
      <c r="F77" s="400"/>
      <c r="G77" s="400"/>
      <c r="H77" s="108"/>
      <c r="I77" s="93"/>
      <c r="J77" s="93"/>
      <c r="K77" s="109"/>
      <c r="L77" s="108"/>
      <c r="M77" s="93"/>
      <c r="N77" s="93"/>
      <c r="O77" s="109"/>
      <c r="P77" s="108"/>
      <c r="Q77" s="93"/>
      <c r="R77" s="93"/>
      <c r="S77" s="144"/>
      <c r="T77" s="141"/>
      <c r="U77" s="141"/>
      <c r="V77" s="362"/>
      <c r="W77" s="368"/>
      <c r="X77" s="368"/>
      <c r="Y77" s="470"/>
      <c r="AC77" s="36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68"/>
      <c r="B78" s="469"/>
      <c r="C78" s="11" t="s">
        <v>15</v>
      </c>
      <c r="D78" s="400" t="str">
        <f>(IFERROR(VLOOKUP(A78,List!$H$1:$I$2804,2,FALSE),""))</f>
        <v/>
      </c>
      <c r="E78" s="400"/>
      <c r="F78" s="400"/>
      <c r="G78" s="400"/>
      <c r="H78" s="108"/>
      <c r="I78" s="93"/>
      <c r="J78" s="93"/>
      <c r="K78" s="109"/>
      <c r="L78" s="108"/>
      <c r="M78" s="93"/>
      <c r="N78" s="93"/>
      <c r="O78" s="109"/>
      <c r="P78" s="108"/>
      <c r="Q78" s="93"/>
      <c r="R78" s="93"/>
      <c r="S78" s="144"/>
      <c r="T78" s="141"/>
      <c r="U78" s="141"/>
      <c r="V78" s="362"/>
      <c r="W78" s="368"/>
      <c r="X78" s="368"/>
      <c r="Y78" s="470"/>
      <c r="AC78" s="36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68"/>
      <c r="B79" s="469"/>
      <c r="C79" s="11" t="s">
        <v>15</v>
      </c>
      <c r="D79" s="400" t="str">
        <f>(IFERROR(VLOOKUP(A79,List!$H$1:$I$2804,2,FALSE),""))</f>
        <v/>
      </c>
      <c r="E79" s="400"/>
      <c r="F79" s="400"/>
      <c r="G79" s="400"/>
      <c r="H79" s="108"/>
      <c r="I79" s="93"/>
      <c r="J79" s="93"/>
      <c r="K79" s="109"/>
      <c r="L79" s="108"/>
      <c r="M79" s="93"/>
      <c r="N79" s="93"/>
      <c r="O79" s="109"/>
      <c r="P79" s="108"/>
      <c r="Q79" s="93"/>
      <c r="R79" s="93"/>
      <c r="S79" s="144"/>
      <c r="T79" s="141"/>
      <c r="U79" s="141"/>
      <c r="V79" s="362"/>
      <c r="W79" s="368"/>
      <c r="X79" s="368"/>
      <c r="Y79" s="470"/>
      <c r="AC79" s="36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68"/>
      <c r="B80" s="469"/>
      <c r="C80" s="11" t="s">
        <v>15</v>
      </c>
      <c r="D80" s="400" t="str">
        <f>(IFERROR(VLOOKUP(A80,List!$H$1:$I$2804,2,FALSE),""))</f>
        <v/>
      </c>
      <c r="E80" s="400"/>
      <c r="F80" s="400"/>
      <c r="G80" s="400"/>
      <c r="H80" s="108"/>
      <c r="I80" s="93"/>
      <c r="J80" s="93"/>
      <c r="K80" s="109"/>
      <c r="L80" s="108"/>
      <c r="M80" s="93"/>
      <c r="N80" s="93"/>
      <c r="O80" s="109"/>
      <c r="P80" s="108"/>
      <c r="Q80" s="93"/>
      <c r="R80" s="93"/>
      <c r="S80" s="144"/>
      <c r="T80" s="141"/>
      <c r="U80" s="141"/>
      <c r="V80" s="362"/>
      <c r="W80" s="368"/>
      <c r="X80" s="368"/>
      <c r="Y80" s="470"/>
      <c r="AC80" s="36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68"/>
      <c r="B81" s="469"/>
      <c r="C81" s="11" t="s">
        <v>15</v>
      </c>
      <c r="D81" s="400" t="str">
        <f>(IFERROR(VLOOKUP(A81,List!$H$1:$I$2804,2,FALSE),""))</f>
        <v/>
      </c>
      <c r="E81" s="400"/>
      <c r="F81" s="400"/>
      <c r="G81" s="400"/>
      <c r="H81" s="108"/>
      <c r="I81" s="93"/>
      <c r="J81" s="93"/>
      <c r="K81" s="109"/>
      <c r="L81" s="108"/>
      <c r="M81" s="93"/>
      <c r="N81" s="93"/>
      <c r="O81" s="109"/>
      <c r="P81" s="108"/>
      <c r="Q81" s="93"/>
      <c r="R81" s="93"/>
      <c r="S81" s="144"/>
      <c r="T81" s="141"/>
      <c r="U81" s="141"/>
      <c r="V81" s="362"/>
      <c r="W81" s="368"/>
      <c r="X81" s="368"/>
      <c r="Y81" s="470"/>
      <c r="AC81" s="36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68"/>
      <c r="B82" s="469"/>
      <c r="C82" s="11" t="s">
        <v>15</v>
      </c>
      <c r="D82" s="400" t="str">
        <f>(IFERROR(VLOOKUP(A82,List!$H$1:$I$2804,2,FALSE),""))</f>
        <v/>
      </c>
      <c r="E82" s="400"/>
      <c r="F82" s="400"/>
      <c r="G82" s="400"/>
      <c r="H82" s="108"/>
      <c r="I82" s="93"/>
      <c r="J82" s="93"/>
      <c r="K82" s="109"/>
      <c r="L82" s="108"/>
      <c r="M82" s="93"/>
      <c r="N82" s="93"/>
      <c r="O82" s="109"/>
      <c r="P82" s="108"/>
      <c r="Q82" s="93"/>
      <c r="R82" s="93"/>
      <c r="S82" s="144"/>
      <c r="T82" s="141"/>
      <c r="U82" s="141"/>
      <c r="V82" s="362"/>
      <c r="W82" s="368"/>
      <c r="X82" s="368"/>
      <c r="Y82" s="470"/>
      <c r="AC82" s="36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68"/>
      <c r="B83" s="469"/>
      <c r="C83" s="11" t="s">
        <v>15</v>
      </c>
      <c r="D83" s="400" t="str">
        <f>(IFERROR(VLOOKUP(A83,List!$H$1:$I$2804,2,FALSE),""))</f>
        <v/>
      </c>
      <c r="E83" s="400"/>
      <c r="F83" s="400"/>
      <c r="G83" s="400"/>
      <c r="H83" s="108"/>
      <c r="I83" s="93"/>
      <c r="J83" s="93"/>
      <c r="K83" s="109"/>
      <c r="L83" s="108"/>
      <c r="M83" s="93"/>
      <c r="N83" s="93"/>
      <c r="O83" s="109"/>
      <c r="P83" s="108"/>
      <c r="Q83" s="93"/>
      <c r="R83" s="93"/>
      <c r="S83" s="144"/>
      <c r="T83" s="141"/>
      <c r="U83" s="141"/>
      <c r="V83" s="362"/>
      <c r="W83" s="368"/>
      <c r="X83" s="368"/>
      <c r="Y83" s="470"/>
      <c r="AC83" s="36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68"/>
      <c r="B84" s="469"/>
      <c r="C84" s="11" t="s">
        <v>15</v>
      </c>
      <c r="D84" s="400" t="str">
        <f>(IFERROR(VLOOKUP(A84,List!$H$1:$I$2804,2,FALSE),""))</f>
        <v/>
      </c>
      <c r="E84" s="400"/>
      <c r="F84" s="400"/>
      <c r="G84" s="400"/>
      <c r="H84" s="108"/>
      <c r="I84" s="93"/>
      <c r="J84" s="93"/>
      <c r="K84" s="109"/>
      <c r="L84" s="108"/>
      <c r="M84" s="93"/>
      <c r="N84" s="93"/>
      <c r="O84" s="109"/>
      <c r="P84" s="108"/>
      <c r="Q84" s="93"/>
      <c r="R84" s="93"/>
      <c r="S84" s="144"/>
      <c r="T84" s="141"/>
      <c r="U84" s="141"/>
      <c r="V84" s="362"/>
      <c r="W84" s="368"/>
      <c r="X84" s="368"/>
      <c r="Y84" s="470"/>
      <c r="AC84" s="36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68"/>
      <c r="B85" s="469"/>
      <c r="C85" s="11" t="s">
        <v>15</v>
      </c>
      <c r="D85" s="471" t="str">
        <f>(IFERROR(VLOOKUP(A85,List!$H$1:$I$2804,2,FALSE),""))</f>
        <v/>
      </c>
      <c r="E85" s="472"/>
      <c r="F85" s="472"/>
      <c r="G85" s="543"/>
      <c r="H85" s="110"/>
      <c r="I85" s="102"/>
      <c r="J85" s="102"/>
      <c r="K85" s="111"/>
      <c r="L85" s="110"/>
      <c r="M85" s="102"/>
      <c r="N85" s="102"/>
      <c r="O85" s="111"/>
      <c r="P85" s="110"/>
      <c r="Q85" s="102"/>
      <c r="R85" s="102"/>
      <c r="S85" s="32"/>
      <c r="T85" s="141"/>
      <c r="U85" s="141"/>
      <c r="V85" s="544"/>
      <c r="W85" s="473"/>
      <c r="X85" s="473"/>
      <c r="Y85" s="474"/>
      <c r="AC85" s="36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4"/>
      <c r="B86" s="444"/>
      <c r="C86" s="445" t="s">
        <v>2892</v>
      </c>
      <c r="D86" s="446"/>
      <c r="E86" s="446"/>
      <c r="F86" s="446"/>
      <c r="G86" s="447"/>
      <c r="H86" s="212">
        <f>SUM(H58:H85)</f>
        <v>0</v>
      </c>
      <c r="I86" s="213">
        <f t="shared" ref="I86" si="1">SUM(I58:I85)</f>
        <v>0</v>
      </c>
      <c r="J86" s="213">
        <f t="shared" ref="J86" si="2">SUM(J58:J85)</f>
        <v>0</v>
      </c>
      <c r="K86" s="214">
        <f t="shared" ref="K86" si="3">SUM(K58:K85)</f>
        <v>0</v>
      </c>
      <c r="L86" s="215">
        <f t="shared" ref="L86" si="4">SUM(L58:L85)</f>
        <v>0</v>
      </c>
      <c r="M86" s="213">
        <f t="shared" ref="M86" si="5">SUM(M58:M85)</f>
        <v>0</v>
      </c>
      <c r="N86" s="213">
        <f t="shared" ref="N86" si="6">SUM(N58:N85)</f>
        <v>0</v>
      </c>
      <c r="O86" s="214">
        <f t="shared" ref="O86" si="7">SUM(O58:O85)</f>
        <v>0</v>
      </c>
      <c r="P86" s="216">
        <f t="shared" ref="P86" si="8">SUM(P58:P85)</f>
        <v>14</v>
      </c>
      <c r="Q86" s="116">
        <f t="shared" ref="Q86" si="9">SUM(Q58:Q85)</f>
        <v>27</v>
      </c>
      <c r="R86" s="116">
        <f t="shared" ref="R86" si="10">SUM(R58:R85)</f>
        <v>29</v>
      </c>
      <c r="S86" s="117">
        <f t="shared" ref="S86" si="11">SUM(S58:S85)</f>
        <v>0</v>
      </c>
      <c r="T86" s="30"/>
      <c r="U86" s="30"/>
      <c r="V86" s="30"/>
      <c r="W86" s="30"/>
      <c r="X86" s="115"/>
      <c r="Y86" s="112"/>
    </row>
    <row r="87" spans="1:32" ht="15.75" thickTop="1">
      <c r="A87" s="80" t="s">
        <v>2862</v>
      </c>
      <c r="B87" s="81"/>
      <c r="C87" s="113"/>
      <c r="D87" s="101"/>
      <c r="E87" s="450" t="s">
        <v>2863</v>
      </c>
      <c r="F87" s="450"/>
      <c r="G87" s="450"/>
      <c r="H87" s="449" t="s">
        <v>3018</v>
      </c>
      <c r="I87" s="450"/>
      <c r="J87" s="450"/>
      <c r="K87" s="450"/>
      <c r="L87" s="450"/>
      <c r="M87" s="450"/>
      <c r="N87" s="450"/>
      <c r="O87" s="450"/>
      <c r="P87" s="451"/>
      <c r="Q87" s="450" t="s">
        <v>2899</v>
      </c>
      <c r="R87" s="450"/>
      <c r="S87" s="450"/>
      <c r="T87" s="532" t="s">
        <v>2870</v>
      </c>
      <c r="U87" s="533"/>
      <c r="V87" s="534" t="s">
        <v>2884</v>
      </c>
      <c r="W87" s="96" t="s">
        <v>2883</v>
      </c>
      <c r="X87" s="462" t="s">
        <v>2894</v>
      </c>
      <c r="Y87" s="97"/>
      <c r="AC87" s="36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65" t="s">
        <v>2864</v>
      </c>
      <c r="B88" s="66"/>
      <c r="C88" s="67"/>
      <c r="D88" s="463"/>
      <c r="E88" s="464"/>
      <c r="F88" s="464"/>
      <c r="G88" s="464"/>
      <c r="H88" s="452"/>
      <c r="I88" s="453"/>
      <c r="J88" s="453"/>
      <c r="K88" s="453"/>
      <c r="L88" s="453"/>
      <c r="M88" s="453"/>
      <c r="N88" s="453"/>
      <c r="O88" s="453"/>
      <c r="P88" s="454"/>
      <c r="Q88" s="545"/>
      <c r="R88" s="546"/>
      <c r="S88" s="546"/>
      <c r="T88" s="466"/>
      <c r="U88" s="464"/>
      <c r="V88" s="535"/>
      <c r="W88" s="98"/>
      <c r="X88" s="462"/>
      <c r="Y88" s="99"/>
      <c r="AC88" s="36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68" t="s">
        <v>2865</v>
      </c>
      <c r="B89" s="69"/>
      <c r="C89" s="66"/>
      <c r="D89" s="464"/>
      <c r="E89" s="464"/>
      <c r="F89" s="464"/>
      <c r="G89" s="464"/>
      <c r="H89" s="452"/>
      <c r="I89" s="453"/>
      <c r="J89" s="453"/>
      <c r="K89" s="453"/>
      <c r="L89" s="453"/>
      <c r="M89" s="453"/>
      <c r="N89" s="453"/>
      <c r="O89" s="453"/>
      <c r="P89" s="454"/>
      <c r="Q89" s="545"/>
      <c r="R89" s="546"/>
      <c r="S89" s="546"/>
      <c r="T89" s="464"/>
      <c r="U89" s="464"/>
      <c r="V89" s="535"/>
      <c r="W89" s="277" t="s">
        <v>3027</v>
      </c>
      <c r="X89" s="467"/>
      <c r="Y89" s="99"/>
      <c r="AC89" s="36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68" t="s">
        <v>2866</v>
      </c>
      <c r="B90" s="70"/>
      <c r="C90" s="66"/>
      <c r="D90" s="464"/>
      <c r="E90" s="464"/>
      <c r="F90" s="464"/>
      <c r="G90" s="464"/>
      <c r="H90" s="452"/>
      <c r="I90" s="453"/>
      <c r="J90" s="453"/>
      <c r="K90" s="453"/>
      <c r="L90" s="453"/>
      <c r="M90" s="453"/>
      <c r="N90" s="453"/>
      <c r="O90" s="453"/>
      <c r="P90" s="454"/>
      <c r="Q90" s="545"/>
      <c r="R90" s="546"/>
      <c r="S90" s="546"/>
      <c r="T90" s="464"/>
      <c r="U90" s="464"/>
      <c r="V90" s="535"/>
      <c r="W90" s="98"/>
      <c r="X90" s="467"/>
      <c r="Y90" s="99"/>
      <c r="AC90" s="36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71" t="s">
        <v>2867</v>
      </c>
      <c r="B91" s="72"/>
      <c r="C91" s="73"/>
      <c r="D91" s="465"/>
      <c r="E91" s="465"/>
      <c r="F91" s="465"/>
      <c r="G91" s="465"/>
      <c r="H91" s="455"/>
      <c r="I91" s="456"/>
      <c r="J91" s="456"/>
      <c r="K91" s="456"/>
      <c r="L91" s="456"/>
      <c r="M91" s="456"/>
      <c r="N91" s="456"/>
      <c r="O91" s="456"/>
      <c r="P91" s="457"/>
      <c r="Q91" s="547"/>
      <c r="R91" s="548"/>
      <c r="S91" s="548"/>
      <c r="T91" s="465"/>
      <c r="U91" s="465"/>
      <c r="V91" s="79"/>
      <c r="W91" s="526" t="s">
        <v>3026</v>
      </c>
      <c r="X91" s="526"/>
      <c r="Y91" s="527"/>
      <c r="AC91" s="36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321" t="s">
        <v>2882</v>
      </c>
      <c r="B92" s="322"/>
      <c r="C92" s="322"/>
      <c r="D92" s="322"/>
      <c r="E92" s="322"/>
      <c r="F92" s="322"/>
      <c r="G92" s="322"/>
      <c r="H92" s="531"/>
      <c r="I92" s="531"/>
      <c r="J92" s="531"/>
      <c r="K92" s="531"/>
      <c r="L92" s="531"/>
      <c r="M92" s="531"/>
      <c r="N92" s="531"/>
      <c r="O92" s="531"/>
      <c r="P92" s="531"/>
      <c r="Q92" s="322"/>
      <c r="R92" s="322"/>
      <c r="S92" s="322"/>
      <c r="T92" s="322"/>
      <c r="U92" s="322"/>
      <c r="V92" s="322"/>
      <c r="W92" s="322"/>
      <c r="X92" s="322"/>
      <c r="Y92" s="324"/>
      <c r="AC92" s="36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5" customHeight="1" thickTop="1" thickBot="1">
      <c r="A93" s="165" t="s">
        <v>5</v>
      </c>
      <c r="B93" s="275">
        <v>42541</v>
      </c>
      <c r="C93" s="261"/>
      <c r="D93" s="261" t="s">
        <v>2847</v>
      </c>
      <c r="E93" s="549" t="s">
        <v>3017</v>
      </c>
      <c r="F93" s="550"/>
      <c r="G93" s="550"/>
      <c r="H93" s="550"/>
      <c r="I93" s="550"/>
      <c r="J93" s="550"/>
      <c r="K93" s="550"/>
      <c r="L93" s="550"/>
      <c r="M93" s="550"/>
      <c r="N93" s="550"/>
      <c r="O93" s="550"/>
      <c r="P93" s="550"/>
      <c r="Q93" s="550"/>
      <c r="R93" s="550"/>
      <c r="S93" s="550"/>
      <c r="T93" s="550"/>
      <c r="U93" s="550"/>
      <c r="V93" s="550"/>
      <c r="W93" s="550"/>
      <c r="X93" s="550"/>
      <c r="Y93" s="551"/>
    </row>
    <row r="94" spans="1:32" ht="16.5" thickTop="1" thickBot="1">
      <c r="A94" s="167" t="s">
        <v>10</v>
      </c>
      <c r="B94" s="56">
        <v>1</v>
      </c>
      <c r="C94" s="11" t="s">
        <v>15</v>
      </c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7"/>
      <c r="X94" s="7"/>
      <c r="Y94" s="6"/>
      <c r="AC94" s="36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165" t="s">
        <v>2873</v>
      </c>
      <c r="B95" s="10" t="s">
        <v>13</v>
      </c>
      <c r="C95" s="11" t="s">
        <v>15</v>
      </c>
      <c r="D95" s="217" t="s">
        <v>2869</v>
      </c>
      <c r="E95" s="517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41"/>
      <c r="AC95" s="36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19" t="s">
        <v>33</v>
      </c>
      <c r="B96" s="521"/>
      <c r="C96" s="521"/>
      <c r="D96" s="521"/>
      <c r="E96" s="521"/>
      <c r="F96" s="522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209" t="s">
        <v>2885</v>
      </c>
      <c r="W96" s="13"/>
      <c r="X96" s="13"/>
      <c r="Y96" s="14"/>
      <c r="AC96" s="36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07" t="s">
        <v>35</v>
      </c>
      <c r="B97" s="206" t="s">
        <v>40</v>
      </c>
      <c r="C97" s="11" t="s">
        <v>15</v>
      </c>
      <c r="D97" s="498"/>
      <c r="E97" s="499"/>
      <c r="F97" s="500"/>
      <c r="G97" s="512" t="s">
        <v>31</v>
      </c>
      <c r="H97" s="512"/>
      <c r="I97" s="512"/>
      <c r="J97" s="512"/>
      <c r="K97" s="512"/>
      <c r="L97" s="512"/>
      <c r="M97" s="512"/>
      <c r="N97" s="512"/>
      <c r="O97" s="512"/>
      <c r="P97" s="512"/>
      <c r="Q97" s="512"/>
      <c r="R97" s="512"/>
      <c r="S97" s="512"/>
      <c r="T97" s="512"/>
      <c r="U97" s="249"/>
      <c r="V97" s="489"/>
      <c r="W97" s="490"/>
      <c r="X97" s="490"/>
      <c r="Y97" s="491"/>
      <c r="AC97" s="36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08" t="s">
        <v>2889</v>
      </c>
      <c r="B98" s="206" t="s">
        <v>41</v>
      </c>
      <c r="C98" s="11" t="s">
        <v>15</v>
      </c>
      <c r="D98" s="501"/>
      <c r="E98" s="502"/>
      <c r="F98" s="503"/>
      <c r="G98" s="504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249"/>
      <c r="V98" s="492"/>
      <c r="W98" s="493"/>
      <c r="X98" s="493"/>
      <c r="Y98" s="494"/>
      <c r="AC98" s="36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508" t="s">
        <v>2871</v>
      </c>
      <c r="B99" s="510"/>
      <c r="C99" s="510"/>
      <c r="D99" s="510"/>
      <c r="E99" s="510"/>
      <c r="F99" s="510"/>
      <c r="G99" s="506"/>
      <c r="H99" s="507"/>
      <c r="I99" s="507"/>
      <c r="J99" s="507"/>
      <c r="K99" s="507"/>
      <c r="L99" s="507"/>
      <c r="M99" s="507"/>
      <c r="N99" s="507"/>
      <c r="O99" s="507"/>
      <c r="P99" s="507"/>
      <c r="Q99" s="507"/>
      <c r="R99" s="507"/>
      <c r="S99" s="507"/>
      <c r="T99" s="507"/>
      <c r="U99" s="249"/>
      <c r="V99" s="492"/>
      <c r="W99" s="493"/>
      <c r="X99" s="493"/>
      <c r="Y99" s="494"/>
      <c r="AC99" s="36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509"/>
      <c r="B100" s="511"/>
      <c r="C100" s="511"/>
      <c r="D100" s="511"/>
      <c r="E100" s="511"/>
      <c r="F100" s="511"/>
      <c r="G100" s="506"/>
      <c r="H100" s="507"/>
      <c r="I100" s="507"/>
      <c r="J100" s="507"/>
      <c r="K100" s="507"/>
      <c r="L100" s="507"/>
      <c r="M100" s="507"/>
      <c r="N100" s="507"/>
      <c r="O100" s="507"/>
      <c r="P100" s="507"/>
      <c r="Q100" s="507"/>
      <c r="R100" s="507"/>
      <c r="S100" s="507"/>
      <c r="T100" s="507"/>
      <c r="U100" s="249"/>
      <c r="V100" s="495"/>
      <c r="W100" s="496"/>
      <c r="X100" s="496"/>
      <c r="Y100" s="497"/>
      <c r="AC100" s="36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05" t="s">
        <v>2843</v>
      </c>
      <c r="B101" s="475"/>
      <c r="C101" s="475"/>
      <c r="D101" s="475"/>
      <c r="E101" s="475"/>
      <c r="F101" s="475"/>
      <c r="G101" s="475"/>
      <c r="H101" s="476" t="s">
        <v>2890</v>
      </c>
      <c r="I101" s="477"/>
      <c r="J101" s="477"/>
      <c r="K101" s="478"/>
      <c r="L101" s="476" t="s">
        <v>2891</v>
      </c>
      <c r="M101" s="477"/>
      <c r="N101" s="477"/>
      <c r="O101" s="478"/>
      <c r="P101" s="476" t="s">
        <v>2914</v>
      </c>
      <c r="Q101" s="477"/>
      <c r="R101" s="477"/>
      <c r="S101" s="478"/>
      <c r="T101" s="479"/>
      <c r="U101" s="480"/>
      <c r="V101" s="480"/>
      <c r="W101" s="480"/>
      <c r="X101" s="480"/>
      <c r="Y101" s="481"/>
    </row>
    <row r="102" spans="1:32" ht="15.75" thickBot="1">
      <c r="A102" s="482" t="s">
        <v>2872</v>
      </c>
      <c r="B102" s="483"/>
      <c r="C102" s="484"/>
      <c r="D102" s="485" t="s">
        <v>2844</v>
      </c>
      <c r="E102" s="475"/>
      <c r="F102" s="475"/>
      <c r="G102" s="536"/>
      <c r="H102" s="106" t="s">
        <v>2852</v>
      </c>
      <c r="I102" s="94" t="s">
        <v>2850</v>
      </c>
      <c r="J102" s="94" t="s">
        <v>2849</v>
      </c>
      <c r="K102" s="107" t="s">
        <v>2851</v>
      </c>
      <c r="L102" s="106" t="s">
        <v>2852</v>
      </c>
      <c r="M102" s="94" t="s">
        <v>2850</v>
      </c>
      <c r="N102" s="94" t="s">
        <v>2849</v>
      </c>
      <c r="O102" s="107" t="s">
        <v>2851</v>
      </c>
      <c r="P102" s="106" t="s">
        <v>2852</v>
      </c>
      <c r="Q102" s="94" t="s">
        <v>2850</v>
      </c>
      <c r="R102" s="94" t="s">
        <v>2849</v>
      </c>
      <c r="S102" s="107" t="s">
        <v>2851</v>
      </c>
      <c r="T102" s="74"/>
      <c r="U102" s="74"/>
      <c r="V102" s="164"/>
      <c r="W102" s="536" t="s">
        <v>2845</v>
      </c>
      <c r="X102" s="539"/>
      <c r="Y102" s="540"/>
      <c r="AC102" s="36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68" t="s">
        <v>1425</v>
      </c>
      <c r="B103" s="469"/>
      <c r="C103" s="11" t="s">
        <v>15</v>
      </c>
      <c r="D103" s="400" t="str">
        <f>(IFERROR(VLOOKUP(A103,List!$H$1:$I$2804,2,FALSE),""))</f>
        <v>FAC</v>
      </c>
      <c r="E103" s="400"/>
      <c r="F103" s="400"/>
      <c r="G103" s="400"/>
      <c r="H103" s="108"/>
      <c r="I103" s="93"/>
      <c r="J103" s="93"/>
      <c r="K103" s="109"/>
      <c r="L103" s="108"/>
      <c r="M103" s="93"/>
      <c r="N103" s="93"/>
      <c r="O103" s="109"/>
      <c r="P103" s="108"/>
      <c r="Q103" s="93"/>
      <c r="R103" s="93">
        <v>30</v>
      </c>
      <c r="S103" s="109"/>
      <c r="T103" s="93"/>
      <c r="U103" s="93"/>
      <c r="V103" s="362"/>
      <c r="W103" s="368"/>
      <c r="X103" s="368"/>
      <c r="Y103" s="470"/>
      <c r="AC103" s="36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68" t="s">
        <v>993</v>
      </c>
      <c r="B104" s="469"/>
      <c r="C104" s="11" t="s">
        <v>15</v>
      </c>
      <c r="D104" s="400" t="str">
        <f>(IFERROR(VLOOKUP(A104,List!$H$1:$I$2804,2,FALSE),""))</f>
        <v>OBL</v>
      </c>
      <c r="E104" s="400"/>
      <c r="F104" s="400"/>
      <c r="G104" s="400"/>
      <c r="H104" s="108"/>
      <c r="I104" s="93"/>
      <c r="J104" s="93"/>
      <c r="K104" s="109"/>
      <c r="L104" s="108"/>
      <c r="M104" s="93"/>
      <c r="N104" s="93"/>
      <c r="O104" s="109"/>
      <c r="P104" s="108">
        <v>30</v>
      </c>
      <c r="Q104" s="93"/>
      <c r="R104" s="93"/>
      <c r="S104" s="109"/>
      <c r="T104" s="93"/>
      <c r="U104" s="93"/>
      <c r="V104" s="362"/>
      <c r="W104" s="368"/>
      <c r="X104" s="368"/>
      <c r="Y104" s="470"/>
      <c r="AC104" s="36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68" t="s">
        <v>2487</v>
      </c>
      <c r="B105" s="469"/>
      <c r="C105" s="11" t="s">
        <v>15</v>
      </c>
      <c r="D105" s="400" t="str">
        <f>(IFERROR(VLOOKUP(A105,List!$H$1:$I$2804,2,FALSE),""))</f>
        <v>OBL</v>
      </c>
      <c r="E105" s="400"/>
      <c r="F105" s="400"/>
      <c r="G105" s="400"/>
      <c r="H105" s="108"/>
      <c r="I105" s="93"/>
      <c r="J105" s="93"/>
      <c r="K105" s="109"/>
      <c r="L105" s="108"/>
      <c r="M105" s="93"/>
      <c r="N105" s="93"/>
      <c r="O105" s="109"/>
      <c r="P105" s="108">
        <v>60</v>
      </c>
      <c r="Q105" s="93"/>
      <c r="R105" s="93"/>
      <c r="S105" s="109"/>
      <c r="T105" s="93"/>
      <c r="U105" s="93"/>
      <c r="V105" s="362"/>
      <c r="W105" s="368"/>
      <c r="X105" s="368"/>
      <c r="Y105" s="470"/>
      <c r="AC105" s="36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68" t="s">
        <v>2067</v>
      </c>
      <c r="B106" s="469"/>
      <c r="C106" s="11" t="s">
        <v>15</v>
      </c>
      <c r="D106" s="400" t="str">
        <f>(IFERROR(VLOOKUP(A106,List!$H$1:$I$2804,2,FALSE),""))</f>
        <v>OBL</v>
      </c>
      <c r="E106" s="400"/>
      <c r="F106" s="400"/>
      <c r="G106" s="400"/>
      <c r="H106" s="108"/>
      <c r="I106" s="93"/>
      <c r="J106" s="93"/>
      <c r="K106" s="109"/>
      <c r="L106" s="108"/>
      <c r="M106" s="93"/>
      <c r="N106" s="93"/>
      <c r="O106" s="109"/>
      <c r="P106" s="108">
        <v>20</v>
      </c>
      <c r="Q106" s="93"/>
      <c r="R106" s="93"/>
      <c r="S106" s="109"/>
      <c r="T106" s="93"/>
      <c r="U106" s="93"/>
      <c r="V106" s="362"/>
      <c r="W106" s="368"/>
      <c r="X106" s="368"/>
      <c r="Y106" s="470"/>
      <c r="AC106" s="36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68" t="s">
        <v>166</v>
      </c>
      <c r="B107" s="469"/>
      <c r="C107" s="11" t="s">
        <v>15</v>
      </c>
      <c r="D107" s="400" t="str">
        <f>(IFERROR(VLOOKUP(A107,List!$H$1:$I$2804,2,FALSE),""))</f>
        <v>FAC</v>
      </c>
      <c r="E107" s="400"/>
      <c r="F107" s="400"/>
      <c r="G107" s="400"/>
      <c r="H107" s="108"/>
      <c r="I107" s="93"/>
      <c r="J107" s="93"/>
      <c r="K107" s="109"/>
      <c r="L107" s="108"/>
      <c r="M107" s="93"/>
      <c r="N107" s="93"/>
      <c r="O107" s="109"/>
      <c r="P107" s="108"/>
      <c r="Q107" s="93"/>
      <c r="R107" s="93">
        <v>12</v>
      </c>
      <c r="S107" s="109"/>
      <c r="T107" s="93"/>
      <c r="U107" s="93"/>
      <c r="V107" s="362"/>
      <c r="W107" s="368"/>
      <c r="X107" s="368"/>
      <c r="Y107" s="470"/>
      <c r="AC107" s="36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68" t="s">
        <v>1568</v>
      </c>
      <c r="B108" s="469"/>
      <c r="C108" s="11" t="s">
        <v>15</v>
      </c>
      <c r="D108" s="400" t="str">
        <f>(IFERROR(VLOOKUP(A108,List!$H$1:$I$2804,2,FALSE),""))</f>
        <v>OBL</v>
      </c>
      <c r="E108" s="400"/>
      <c r="F108" s="400"/>
      <c r="G108" s="400"/>
      <c r="H108" s="108"/>
      <c r="I108" s="93"/>
      <c r="J108" s="93"/>
      <c r="K108" s="109"/>
      <c r="L108" s="108"/>
      <c r="M108" s="93"/>
      <c r="N108" s="93"/>
      <c r="O108" s="109"/>
      <c r="P108" s="108">
        <v>10</v>
      </c>
      <c r="Q108" s="93"/>
      <c r="R108" s="93"/>
      <c r="S108" s="109"/>
      <c r="T108" s="93"/>
      <c r="U108" s="93"/>
      <c r="V108" s="362"/>
      <c r="W108" s="368"/>
      <c r="X108" s="368"/>
      <c r="Y108" s="470"/>
      <c r="AC108" s="36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68" t="s">
        <v>1284</v>
      </c>
      <c r="B109" s="469"/>
      <c r="C109" s="11" t="s">
        <v>15</v>
      </c>
      <c r="D109" s="400" t="str">
        <f>(IFERROR(VLOOKUP(A109,List!$H$1:$I$2804,2,FALSE),""))</f>
        <v>OBL</v>
      </c>
      <c r="E109" s="400"/>
      <c r="F109" s="400"/>
      <c r="G109" s="400"/>
      <c r="H109" s="108"/>
      <c r="I109" s="93"/>
      <c r="J109" s="93"/>
      <c r="K109" s="109"/>
      <c r="L109" s="108"/>
      <c r="M109" s="93"/>
      <c r="N109" s="93"/>
      <c r="O109" s="109"/>
      <c r="P109" s="108">
        <v>8</v>
      </c>
      <c r="Q109" s="93"/>
      <c r="R109" s="93"/>
      <c r="S109" s="109"/>
      <c r="T109" s="93"/>
      <c r="U109" s="93"/>
      <c r="V109" s="362"/>
      <c r="W109" s="368"/>
      <c r="X109" s="368"/>
      <c r="Y109" s="470"/>
      <c r="AC109" s="36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68" t="s">
        <v>1388</v>
      </c>
      <c r="B110" s="469"/>
      <c r="C110" s="11" t="s">
        <v>15</v>
      </c>
      <c r="D110" s="400" t="str">
        <f>(IFERROR(VLOOKUP(A110,List!$H$1:$I$2804,2,FALSE),""))</f>
        <v>FACW</v>
      </c>
      <c r="E110" s="400"/>
      <c r="F110" s="400"/>
      <c r="G110" s="400"/>
      <c r="H110" s="108"/>
      <c r="I110" s="93"/>
      <c r="J110" s="93"/>
      <c r="K110" s="109"/>
      <c r="L110" s="108"/>
      <c r="M110" s="93"/>
      <c r="N110" s="93"/>
      <c r="O110" s="109"/>
      <c r="P110" s="108"/>
      <c r="Q110" s="93">
        <v>5</v>
      </c>
      <c r="R110" s="93"/>
      <c r="S110" s="109"/>
      <c r="T110" s="93"/>
      <c r="U110" s="93"/>
      <c r="V110" s="362"/>
      <c r="W110" s="368"/>
      <c r="X110" s="368"/>
      <c r="Y110" s="470"/>
      <c r="AC110" s="36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68" t="s">
        <v>2140</v>
      </c>
      <c r="B111" s="469"/>
      <c r="C111" s="11" t="s">
        <v>15</v>
      </c>
      <c r="D111" s="400" t="str">
        <f>(IFERROR(VLOOKUP(A111,List!$H$1:$I$2804,2,FALSE),""))</f>
        <v>FACW</v>
      </c>
      <c r="E111" s="400"/>
      <c r="F111" s="400"/>
      <c r="G111" s="400"/>
      <c r="H111" s="108"/>
      <c r="I111" s="93"/>
      <c r="J111" s="93"/>
      <c r="K111" s="109"/>
      <c r="L111" s="108"/>
      <c r="M111" s="93"/>
      <c r="N111" s="93"/>
      <c r="O111" s="109"/>
      <c r="P111" s="108"/>
      <c r="Q111" s="93">
        <v>4</v>
      </c>
      <c r="R111" s="93"/>
      <c r="S111" s="109"/>
      <c r="T111" s="93"/>
      <c r="U111" s="93"/>
      <c r="V111" s="362"/>
      <c r="W111" s="368"/>
      <c r="X111" s="368"/>
      <c r="Y111" s="470"/>
      <c r="AC111" s="36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68" t="s">
        <v>2175</v>
      </c>
      <c r="B112" s="469"/>
      <c r="C112" s="11" t="s">
        <v>15</v>
      </c>
      <c r="D112" s="400" t="str">
        <f>(IFERROR(VLOOKUP(A112,List!$H$1:$I$2804,2,FALSE),""))</f>
        <v>FACW</v>
      </c>
      <c r="E112" s="400"/>
      <c r="F112" s="400"/>
      <c r="G112" s="400"/>
      <c r="H112" s="108"/>
      <c r="I112" s="93"/>
      <c r="J112" s="93"/>
      <c r="K112" s="109"/>
      <c r="L112" s="108"/>
      <c r="M112" s="93"/>
      <c r="N112" s="93"/>
      <c r="O112" s="109"/>
      <c r="P112" s="108"/>
      <c r="Q112" s="93">
        <v>2</v>
      </c>
      <c r="R112" s="93"/>
      <c r="S112" s="109"/>
      <c r="T112" s="93"/>
      <c r="U112" s="93"/>
      <c r="V112" s="362"/>
      <c r="W112" s="368"/>
      <c r="X112" s="368"/>
      <c r="Y112" s="470"/>
      <c r="AC112" s="36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68" t="s">
        <v>2018</v>
      </c>
      <c r="B113" s="469"/>
      <c r="C113" s="11" t="s">
        <v>15</v>
      </c>
      <c r="D113" s="400" t="str">
        <f>(IFERROR(VLOOKUP(A113,List!$H$1:$I$2804,2,FALSE),""))</f>
        <v>OBL</v>
      </c>
      <c r="E113" s="400"/>
      <c r="F113" s="400"/>
      <c r="G113" s="400"/>
      <c r="H113" s="108"/>
      <c r="I113" s="93"/>
      <c r="J113" s="93"/>
      <c r="K113" s="109"/>
      <c r="L113" s="108"/>
      <c r="M113" s="93"/>
      <c r="N113" s="93"/>
      <c r="O113" s="109"/>
      <c r="P113" s="108">
        <v>1</v>
      </c>
      <c r="Q113" s="93"/>
      <c r="R113" s="93"/>
      <c r="S113" s="109"/>
      <c r="T113" s="93"/>
      <c r="U113" s="93"/>
      <c r="V113" s="362"/>
      <c r="W113" s="368"/>
      <c r="X113" s="368"/>
      <c r="Y113" s="470"/>
      <c r="AC113" s="36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68"/>
      <c r="B114" s="469"/>
      <c r="C114" s="11" t="s">
        <v>15</v>
      </c>
      <c r="D114" s="400" t="str">
        <f>(IFERROR(VLOOKUP(A114,List!$H$1:$I$2804,2,FALSE),""))</f>
        <v/>
      </c>
      <c r="E114" s="400"/>
      <c r="F114" s="400"/>
      <c r="G114" s="400"/>
      <c r="H114" s="108"/>
      <c r="I114" s="93"/>
      <c r="J114" s="93"/>
      <c r="K114" s="109"/>
      <c r="L114" s="108"/>
      <c r="M114" s="93"/>
      <c r="N114" s="93"/>
      <c r="O114" s="109"/>
      <c r="P114" s="108"/>
      <c r="Q114" s="93"/>
      <c r="R114" s="93"/>
      <c r="S114" s="109"/>
      <c r="T114" s="93"/>
      <c r="U114" s="93"/>
      <c r="V114" s="362"/>
      <c r="W114" s="368"/>
      <c r="X114" s="368"/>
      <c r="Y114" s="470"/>
      <c r="AC114" s="36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68"/>
      <c r="B115" s="469"/>
      <c r="C115" s="11" t="s">
        <v>15</v>
      </c>
      <c r="D115" s="400" t="str">
        <f>(IFERROR(VLOOKUP(A115,List!$H$1:$I$2804,2,FALSE),""))</f>
        <v/>
      </c>
      <c r="E115" s="400"/>
      <c r="F115" s="400"/>
      <c r="G115" s="400"/>
      <c r="H115" s="108"/>
      <c r="I115" s="93"/>
      <c r="J115" s="93"/>
      <c r="K115" s="109"/>
      <c r="L115" s="108"/>
      <c r="M115" s="93"/>
      <c r="N115" s="93"/>
      <c r="O115" s="109"/>
      <c r="P115" s="108"/>
      <c r="Q115" s="93"/>
      <c r="R115" s="93"/>
      <c r="S115" s="109"/>
      <c r="T115" s="93"/>
      <c r="U115" s="93"/>
      <c r="V115" s="362"/>
      <c r="W115" s="368"/>
      <c r="X115" s="368"/>
      <c r="Y115" s="470"/>
      <c r="AC115" s="36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68"/>
      <c r="B116" s="469"/>
      <c r="C116" s="11" t="s">
        <v>15</v>
      </c>
      <c r="D116" s="400" t="str">
        <f>(IFERROR(VLOOKUP(A116,List!$H$1:$I$2804,2,FALSE),""))</f>
        <v/>
      </c>
      <c r="E116" s="400"/>
      <c r="F116" s="400"/>
      <c r="G116" s="400"/>
      <c r="H116" s="108"/>
      <c r="I116" s="93"/>
      <c r="J116" s="93"/>
      <c r="K116" s="109"/>
      <c r="L116" s="108"/>
      <c r="M116" s="93"/>
      <c r="N116" s="93"/>
      <c r="O116" s="109"/>
      <c r="P116" s="108"/>
      <c r="Q116" s="93"/>
      <c r="R116" s="93"/>
      <c r="S116" s="109"/>
      <c r="T116" s="93"/>
      <c r="U116" s="93"/>
      <c r="V116" s="362"/>
      <c r="W116" s="368"/>
      <c r="X116" s="368"/>
      <c r="Y116" s="470"/>
      <c r="AC116" s="36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68"/>
      <c r="B117" s="469"/>
      <c r="C117" s="11" t="s">
        <v>15</v>
      </c>
      <c r="D117" s="400" t="str">
        <f>(IFERROR(VLOOKUP(A117,List!$H$1:$I$2804,2,FALSE),""))</f>
        <v/>
      </c>
      <c r="E117" s="400"/>
      <c r="F117" s="400"/>
      <c r="G117" s="400"/>
      <c r="H117" s="108"/>
      <c r="I117" s="93"/>
      <c r="J117" s="93"/>
      <c r="K117" s="109"/>
      <c r="L117" s="108"/>
      <c r="M117" s="93"/>
      <c r="N117" s="93"/>
      <c r="O117" s="109"/>
      <c r="P117" s="108"/>
      <c r="Q117" s="93"/>
      <c r="R117" s="93"/>
      <c r="S117" s="109"/>
      <c r="T117" s="93"/>
      <c r="U117" s="93"/>
      <c r="V117" s="362"/>
      <c r="W117" s="368"/>
      <c r="X117" s="368"/>
      <c r="Y117" s="470"/>
      <c r="AC117" s="36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68"/>
      <c r="B118" s="469"/>
      <c r="C118" s="11" t="s">
        <v>15</v>
      </c>
      <c r="D118" s="400" t="str">
        <f>(IFERROR(VLOOKUP(A118,List!$H$1:$I$2804,2,FALSE),""))</f>
        <v/>
      </c>
      <c r="E118" s="400"/>
      <c r="F118" s="400"/>
      <c r="G118" s="400"/>
      <c r="H118" s="108"/>
      <c r="I118" s="93"/>
      <c r="J118" s="93"/>
      <c r="K118" s="109"/>
      <c r="L118" s="108"/>
      <c r="M118" s="93"/>
      <c r="N118" s="93"/>
      <c r="O118" s="109"/>
      <c r="P118" s="108"/>
      <c r="Q118" s="93"/>
      <c r="R118" s="93"/>
      <c r="S118" s="109"/>
      <c r="T118" s="93"/>
      <c r="U118" s="93"/>
      <c r="V118" s="362"/>
      <c r="W118" s="368"/>
      <c r="X118" s="368"/>
      <c r="Y118" s="470"/>
      <c r="AC118" s="36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68"/>
      <c r="B119" s="469"/>
      <c r="C119" s="11" t="s">
        <v>15</v>
      </c>
      <c r="D119" s="400" t="str">
        <f>(IFERROR(VLOOKUP(A119,List!$H$1:$I$2804,2,FALSE),""))</f>
        <v/>
      </c>
      <c r="E119" s="400"/>
      <c r="F119" s="400"/>
      <c r="G119" s="400"/>
      <c r="H119" s="108"/>
      <c r="I119" s="93"/>
      <c r="J119" s="93"/>
      <c r="K119" s="109"/>
      <c r="L119" s="108"/>
      <c r="M119" s="93"/>
      <c r="N119" s="93"/>
      <c r="O119" s="109"/>
      <c r="P119" s="108"/>
      <c r="Q119" s="93"/>
      <c r="R119" s="93"/>
      <c r="S119" s="109"/>
      <c r="T119" s="93"/>
      <c r="U119" s="93"/>
      <c r="V119" s="362"/>
      <c r="W119" s="368"/>
      <c r="X119" s="368"/>
      <c r="Y119" s="470"/>
      <c r="AC119" s="36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68"/>
      <c r="B120" s="469"/>
      <c r="C120" s="11" t="s">
        <v>15</v>
      </c>
      <c r="D120" s="400" t="str">
        <f>(IFERROR(VLOOKUP(A120,List!$H$1:$I$2804,2,FALSE),""))</f>
        <v/>
      </c>
      <c r="E120" s="400"/>
      <c r="F120" s="400"/>
      <c r="G120" s="400"/>
      <c r="H120" s="108"/>
      <c r="I120" s="93"/>
      <c r="J120" s="93"/>
      <c r="K120" s="109"/>
      <c r="L120" s="108"/>
      <c r="M120" s="93"/>
      <c r="N120" s="93"/>
      <c r="O120" s="109"/>
      <c r="P120" s="108"/>
      <c r="Q120" s="93"/>
      <c r="R120" s="93"/>
      <c r="S120" s="109"/>
      <c r="T120" s="93"/>
      <c r="U120" s="93"/>
      <c r="V120" s="362"/>
      <c r="W120" s="368"/>
      <c r="X120" s="368"/>
      <c r="Y120" s="470"/>
      <c r="AC120" s="36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68"/>
      <c r="B121" s="469"/>
      <c r="C121" s="11" t="s">
        <v>15</v>
      </c>
      <c r="D121" s="400" t="str">
        <f>(IFERROR(VLOOKUP(A121,List!$H$1:$I$2804,2,FALSE),""))</f>
        <v/>
      </c>
      <c r="E121" s="400"/>
      <c r="F121" s="400"/>
      <c r="G121" s="400"/>
      <c r="H121" s="108"/>
      <c r="I121" s="93"/>
      <c r="J121" s="93"/>
      <c r="K121" s="109"/>
      <c r="L121" s="108"/>
      <c r="M121" s="93"/>
      <c r="N121" s="93"/>
      <c r="O121" s="109"/>
      <c r="P121" s="108"/>
      <c r="Q121" s="93"/>
      <c r="R121" s="93"/>
      <c r="S121" s="109"/>
      <c r="T121" s="93"/>
      <c r="U121" s="93"/>
      <c r="V121" s="362"/>
      <c r="W121" s="368"/>
      <c r="X121" s="368"/>
      <c r="Y121" s="470"/>
      <c r="AC121" s="36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68"/>
      <c r="B122" s="469"/>
      <c r="C122" s="11" t="s">
        <v>15</v>
      </c>
      <c r="D122" s="400" t="str">
        <f>(IFERROR(VLOOKUP(A122,List!$H$1:$I$2804,2,FALSE),""))</f>
        <v/>
      </c>
      <c r="E122" s="400"/>
      <c r="F122" s="400"/>
      <c r="G122" s="400"/>
      <c r="H122" s="108"/>
      <c r="I122" s="93"/>
      <c r="J122" s="93"/>
      <c r="K122" s="109"/>
      <c r="L122" s="108"/>
      <c r="M122" s="93"/>
      <c r="N122" s="93"/>
      <c r="O122" s="109"/>
      <c r="P122" s="108"/>
      <c r="Q122" s="93"/>
      <c r="R122" s="93"/>
      <c r="S122" s="109"/>
      <c r="T122" s="93"/>
      <c r="U122" s="93"/>
      <c r="V122" s="362"/>
      <c r="W122" s="368"/>
      <c r="X122" s="368"/>
      <c r="Y122" s="470"/>
      <c r="AC122" s="36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68"/>
      <c r="B123" s="469"/>
      <c r="C123" s="11" t="s">
        <v>15</v>
      </c>
      <c r="D123" s="400" t="str">
        <f>(IFERROR(VLOOKUP(A123,List!$H$1:$I$2804,2,FALSE),""))</f>
        <v/>
      </c>
      <c r="E123" s="400"/>
      <c r="F123" s="400"/>
      <c r="G123" s="400"/>
      <c r="H123" s="108"/>
      <c r="I123" s="93"/>
      <c r="J123" s="93"/>
      <c r="K123" s="109"/>
      <c r="L123" s="108"/>
      <c r="M123" s="93"/>
      <c r="N123" s="93"/>
      <c r="O123" s="109"/>
      <c r="P123" s="108"/>
      <c r="Q123" s="93"/>
      <c r="R123" s="93"/>
      <c r="S123" s="109"/>
      <c r="T123" s="93"/>
      <c r="U123" s="93"/>
      <c r="V123" s="362"/>
      <c r="W123" s="368"/>
      <c r="X123" s="368"/>
      <c r="Y123" s="470"/>
      <c r="AC123" s="36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68"/>
      <c r="B124" s="469"/>
      <c r="C124" s="11" t="s">
        <v>15</v>
      </c>
      <c r="D124" s="400" t="str">
        <f>(IFERROR(VLOOKUP(A124,List!$H$1:$I$2804,2,FALSE),""))</f>
        <v/>
      </c>
      <c r="E124" s="400"/>
      <c r="F124" s="400"/>
      <c r="G124" s="400"/>
      <c r="H124" s="108"/>
      <c r="I124" s="93"/>
      <c r="J124" s="93"/>
      <c r="K124" s="109"/>
      <c r="L124" s="108"/>
      <c r="M124" s="93"/>
      <c r="N124" s="93"/>
      <c r="O124" s="109"/>
      <c r="P124" s="108"/>
      <c r="Q124" s="93"/>
      <c r="R124" s="93"/>
      <c r="S124" s="109"/>
      <c r="T124" s="93"/>
      <c r="U124" s="93"/>
      <c r="V124" s="362"/>
      <c r="W124" s="368"/>
      <c r="X124" s="368"/>
      <c r="Y124" s="470"/>
      <c r="AC124" s="36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68"/>
      <c r="B125" s="469"/>
      <c r="C125" s="11" t="s">
        <v>15</v>
      </c>
      <c r="D125" s="400" t="str">
        <f>(IFERROR(VLOOKUP(A125,List!$H$1:$I$2804,2,FALSE),""))</f>
        <v/>
      </c>
      <c r="E125" s="400"/>
      <c r="F125" s="400"/>
      <c r="G125" s="400"/>
      <c r="H125" s="108"/>
      <c r="I125" s="93"/>
      <c r="J125" s="93"/>
      <c r="K125" s="109"/>
      <c r="L125" s="108"/>
      <c r="M125" s="93"/>
      <c r="N125" s="93"/>
      <c r="O125" s="109"/>
      <c r="P125" s="108"/>
      <c r="Q125" s="93"/>
      <c r="R125" s="93"/>
      <c r="S125" s="109"/>
      <c r="T125" s="93"/>
      <c r="U125" s="93"/>
      <c r="V125" s="362"/>
      <c r="W125" s="368"/>
      <c r="X125" s="368"/>
      <c r="Y125" s="470"/>
      <c r="AC125" s="36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68"/>
      <c r="B126" s="469"/>
      <c r="C126" s="11" t="s">
        <v>15</v>
      </c>
      <c r="D126" s="400" t="str">
        <f>(IFERROR(VLOOKUP(A126,List!$H$1:$I$2804,2,FALSE),""))</f>
        <v/>
      </c>
      <c r="E126" s="400"/>
      <c r="F126" s="400"/>
      <c r="G126" s="400"/>
      <c r="H126" s="108"/>
      <c r="I126" s="93"/>
      <c r="J126" s="93"/>
      <c r="K126" s="109"/>
      <c r="L126" s="108"/>
      <c r="M126" s="93"/>
      <c r="N126" s="93"/>
      <c r="O126" s="109"/>
      <c r="P126" s="108"/>
      <c r="Q126" s="93"/>
      <c r="R126" s="93"/>
      <c r="S126" s="109"/>
      <c r="T126" s="93"/>
      <c r="U126" s="93"/>
      <c r="V126" s="362"/>
      <c r="W126" s="368"/>
      <c r="X126" s="368"/>
      <c r="Y126" s="470"/>
      <c r="AC126" s="36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68"/>
      <c r="B127" s="469"/>
      <c r="C127" s="11" t="s">
        <v>15</v>
      </c>
      <c r="D127" s="400" t="str">
        <f>(IFERROR(VLOOKUP(A127,List!$H$1:$I$2804,2,FALSE),""))</f>
        <v/>
      </c>
      <c r="E127" s="400"/>
      <c r="F127" s="400"/>
      <c r="G127" s="400"/>
      <c r="H127" s="108"/>
      <c r="I127" s="93"/>
      <c r="J127" s="93"/>
      <c r="K127" s="109"/>
      <c r="L127" s="108"/>
      <c r="M127" s="93"/>
      <c r="N127" s="93"/>
      <c r="O127" s="109"/>
      <c r="P127" s="108"/>
      <c r="Q127" s="93"/>
      <c r="R127" s="93"/>
      <c r="S127" s="109"/>
      <c r="T127" s="93"/>
      <c r="U127" s="93"/>
      <c r="V127" s="362"/>
      <c r="W127" s="368"/>
      <c r="X127" s="368"/>
      <c r="Y127" s="470"/>
      <c r="AC127" s="36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68"/>
      <c r="B128" s="469"/>
      <c r="C128" s="11" t="s">
        <v>15</v>
      </c>
      <c r="D128" s="400" t="str">
        <f>(IFERROR(VLOOKUP(A128,List!$H$1:$I$2804,2,FALSE),""))</f>
        <v/>
      </c>
      <c r="E128" s="400"/>
      <c r="F128" s="400"/>
      <c r="G128" s="400"/>
      <c r="H128" s="108"/>
      <c r="I128" s="93"/>
      <c r="J128" s="93"/>
      <c r="K128" s="109"/>
      <c r="L128" s="108"/>
      <c r="M128" s="93"/>
      <c r="N128" s="93"/>
      <c r="O128" s="109"/>
      <c r="P128" s="108"/>
      <c r="Q128" s="93"/>
      <c r="R128" s="93"/>
      <c r="S128" s="109"/>
      <c r="T128" s="93"/>
      <c r="U128" s="93"/>
      <c r="V128" s="362"/>
      <c r="W128" s="368"/>
      <c r="X128" s="368"/>
      <c r="Y128" s="470"/>
      <c r="AC128" s="36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68"/>
      <c r="B129" s="469"/>
      <c r="C129" s="11" t="s">
        <v>15</v>
      </c>
      <c r="D129" s="400" t="str">
        <f>(IFERROR(VLOOKUP(A129,List!$H$1:$I$2804,2,FALSE),""))</f>
        <v/>
      </c>
      <c r="E129" s="400"/>
      <c r="F129" s="400"/>
      <c r="G129" s="400"/>
      <c r="H129" s="108"/>
      <c r="I129" s="93"/>
      <c r="J129" s="93"/>
      <c r="K129" s="109"/>
      <c r="L129" s="108"/>
      <c r="M129" s="93"/>
      <c r="N129" s="93"/>
      <c r="O129" s="109"/>
      <c r="P129" s="108"/>
      <c r="Q129" s="93"/>
      <c r="R129" s="93"/>
      <c r="S129" s="109"/>
      <c r="T129" s="93"/>
      <c r="U129" s="93"/>
      <c r="V129" s="362"/>
      <c r="W129" s="368"/>
      <c r="X129" s="368"/>
      <c r="Y129" s="470"/>
      <c r="AC129" s="36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68"/>
      <c r="B130" s="469"/>
      <c r="C130" s="11" t="s">
        <v>15</v>
      </c>
      <c r="D130" s="471" t="str">
        <f>(IFERROR(VLOOKUP(A130,List!$H$1:$I$2804,2,FALSE),""))</f>
        <v/>
      </c>
      <c r="E130" s="472"/>
      <c r="F130" s="472"/>
      <c r="G130" s="543"/>
      <c r="H130" s="110"/>
      <c r="I130" s="102"/>
      <c r="J130" s="102"/>
      <c r="K130" s="111"/>
      <c r="L130" s="110"/>
      <c r="M130" s="102"/>
      <c r="N130" s="102"/>
      <c r="O130" s="111"/>
      <c r="P130" s="110"/>
      <c r="Q130" s="102"/>
      <c r="R130" s="102"/>
      <c r="S130" s="111"/>
      <c r="T130" s="40"/>
      <c r="U130" s="40"/>
      <c r="V130" s="544"/>
      <c r="W130" s="473"/>
      <c r="X130" s="473"/>
      <c r="Y130" s="474"/>
      <c r="AC130" s="36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555"/>
      <c r="B131" s="555"/>
      <c r="C131" s="445" t="s">
        <v>2892</v>
      </c>
      <c r="D131" s="446"/>
      <c r="E131" s="446"/>
      <c r="F131" s="446"/>
      <c r="G131" s="447"/>
      <c r="H131" s="212">
        <f>SUM(H103:H130)</f>
        <v>0</v>
      </c>
      <c r="I131" s="213">
        <f t="shared" ref="I131" si="12">SUM(I103:I130)</f>
        <v>0</v>
      </c>
      <c r="J131" s="213">
        <f t="shared" ref="J131" si="13">SUM(J103:J130)</f>
        <v>0</v>
      </c>
      <c r="K131" s="214">
        <f t="shared" ref="K131" si="14">SUM(K103:K130)</f>
        <v>0</v>
      </c>
      <c r="L131" s="215">
        <f t="shared" ref="L131" si="15">SUM(L103:L130)</f>
        <v>0</v>
      </c>
      <c r="M131" s="213">
        <f t="shared" ref="M131" si="16">SUM(M103:M130)</f>
        <v>0</v>
      </c>
      <c r="N131" s="213">
        <f t="shared" ref="N131" si="17">SUM(N103:N130)</f>
        <v>0</v>
      </c>
      <c r="O131" s="214">
        <f t="shared" ref="O131" si="18">SUM(O103:O130)</f>
        <v>0</v>
      </c>
      <c r="P131" s="216">
        <f t="shared" ref="P131" si="19">SUM(P103:P130)</f>
        <v>129</v>
      </c>
      <c r="Q131" s="116">
        <f t="shared" ref="Q131" si="20">SUM(Q103:Q130)</f>
        <v>11</v>
      </c>
      <c r="R131" s="116">
        <f t="shared" ref="R131" si="21">SUM(R103:R130)</f>
        <v>42</v>
      </c>
      <c r="S131" s="117">
        <f t="shared" ref="S131" si="22">SUM(S103:S130)</f>
        <v>0</v>
      </c>
      <c r="T131" s="30"/>
      <c r="U131" s="30"/>
      <c r="V131" s="30"/>
      <c r="W131" s="30"/>
      <c r="X131" s="115"/>
      <c r="Y131" s="112"/>
    </row>
    <row r="132" spans="1:32" ht="15.75" customHeight="1" thickTop="1">
      <c r="A132" s="62" t="s">
        <v>2862</v>
      </c>
      <c r="B132" s="63"/>
      <c r="C132" s="64"/>
      <c r="D132" s="101"/>
      <c r="E132" s="450" t="s">
        <v>2863</v>
      </c>
      <c r="F132" s="450"/>
      <c r="G132" s="450"/>
      <c r="H132" s="449"/>
      <c r="I132" s="450"/>
      <c r="J132" s="450"/>
      <c r="K132" s="450"/>
      <c r="L132" s="450"/>
      <c r="M132" s="450"/>
      <c r="N132" s="450"/>
      <c r="O132" s="450"/>
      <c r="P132" s="451"/>
      <c r="Q132" s="450" t="s">
        <v>2899</v>
      </c>
      <c r="R132" s="450"/>
      <c r="S132" s="450"/>
      <c r="T132" s="184" t="s">
        <v>2870</v>
      </c>
      <c r="U132" s="185"/>
      <c r="V132" s="534" t="s">
        <v>2884</v>
      </c>
      <c r="W132" s="96" t="s">
        <v>2883</v>
      </c>
      <c r="X132" s="462" t="s">
        <v>2894</v>
      </c>
      <c r="Y132" s="97"/>
      <c r="AC132" s="36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65" t="s">
        <v>2864</v>
      </c>
      <c r="B133" s="66"/>
      <c r="C133" s="67"/>
      <c r="D133" s="463"/>
      <c r="E133" s="464"/>
      <c r="F133" s="464"/>
      <c r="G133" s="464"/>
      <c r="H133" s="452"/>
      <c r="I133" s="453"/>
      <c r="J133" s="453"/>
      <c r="K133" s="453"/>
      <c r="L133" s="453"/>
      <c r="M133" s="453"/>
      <c r="N133" s="453"/>
      <c r="O133" s="453"/>
      <c r="P133" s="454"/>
      <c r="Q133" s="546"/>
      <c r="R133" s="546"/>
      <c r="S133" s="546"/>
      <c r="T133" s="188"/>
      <c r="U133" s="188"/>
      <c r="V133" s="552"/>
      <c r="W133" s="98"/>
      <c r="X133" s="462"/>
      <c r="Y133" s="99"/>
      <c r="AC133" s="36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68" t="s">
        <v>2865</v>
      </c>
      <c r="B134" s="69"/>
      <c r="C134" s="66"/>
      <c r="D134" s="464"/>
      <c r="E134" s="464"/>
      <c r="F134" s="464"/>
      <c r="G134" s="464"/>
      <c r="H134" s="452"/>
      <c r="I134" s="453"/>
      <c r="J134" s="453"/>
      <c r="K134" s="453"/>
      <c r="L134" s="453"/>
      <c r="M134" s="453"/>
      <c r="N134" s="453"/>
      <c r="O134" s="453"/>
      <c r="P134" s="454"/>
      <c r="Q134" s="546"/>
      <c r="R134" s="546"/>
      <c r="S134" s="546"/>
      <c r="T134" s="188"/>
      <c r="U134" s="188"/>
      <c r="V134" s="552"/>
      <c r="W134" s="277" t="s">
        <v>3029</v>
      </c>
      <c r="X134" s="467"/>
      <c r="Y134" s="99"/>
      <c r="AC134" s="36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68" t="s">
        <v>2866</v>
      </c>
      <c r="B135" s="70"/>
      <c r="C135" s="66"/>
      <c r="D135" s="464"/>
      <c r="E135" s="464"/>
      <c r="F135" s="464"/>
      <c r="G135" s="464"/>
      <c r="H135" s="452"/>
      <c r="I135" s="453"/>
      <c r="J135" s="453"/>
      <c r="K135" s="453"/>
      <c r="L135" s="453"/>
      <c r="M135" s="453"/>
      <c r="N135" s="453"/>
      <c r="O135" s="453"/>
      <c r="P135" s="454"/>
      <c r="Q135" s="546"/>
      <c r="R135" s="546"/>
      <c r="S135" s="546"/>
      <c r="T135" s="188"/>
      <c r="U135" s="188"/>
      <c r="V135" s="552"/>
      <c r="W135" s="98"/>
      <c r="X135" s="467"/>
      <c r="Y135" s="99"/>
      <c r="AC135" s="36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71" t="s">
        <v>2867</v>
      </c>
      <c r="B136" s="72"/>
      <c r="C136" s="73"/>
      <c r="D136" s="465"/>
      <c r="E136" s="465"/>
      <c r="F136" s="465"/>
      <c r="G136" s="465"/>
      <c r="H136" s="528"/>
      <c r="I136" s="529"/>
      <c r="J136" s="529"/>
      <c r="K136" s="529"/>
      <c r="L136" s="529"/>
      <c r="M136" s="529"/>
      <c r="N136" s="529"/>
      <c r="O136" s="529"/>
      <c r="P136" s="530"/>
      <c r="Q136" s="556"/>
      <c r="R136" s="556"/>
      <c r="S136" s="556"/>
      <c r="T136" s="189"/>
      <c r="U136" s="189"/>
      <c r="V136" s="82"/>
      <c r="W136" s="553" t="s">
        <v>3030</v>
      </c>
      <c r="X136" s="553"/>
      <c r="Y136" s="554"/>
      <c r="AC136" s="36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409" t="s">
        <v>2925</v>
      </c>
      <c r="B137" s="513"/>
      <c r="C137" s="513"/>
      <c r="D137" s="513"/>
      <c r="E137" s="513"/>
      <c r="F137" s="513"/>
      <c r="G137" s="513"/>
      <c r="H137" s="513"/>
      <c r="I137" s="513"/>
      <c r="J137" s="513"/>
      <c r="K137" s="513"/>
      <c r="L137" s="513"/>
      <c r="M137" s="513"/>
      <c r="N137" s="513"/>
      <c r="O137" s="513"/>
      <c r="P137" s="513"/>
      <c r="Q137" s="513"/>
      <c r="R137" s="513"/>
      <c r="S137" s="513"/>
      <c r="T137" s="513"/>
      <c r="U137" s="513"/>
      <c r="V137" s="513"/>
      <c r="W137" s="513"/>
      <c r="X137" s="513"/>
      <c r="Y137" s="513"/>
      <c r="AC137" s="36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165" t="s">
        <v>5</v>
      </c>
      <c r="B138" s="274">
        <v>42541</v>
      </c>
      <c r="C138" s="260"/>
      <c r="D138" s="260" t="s">
        <v>2847</v>
      </c>
      <c r="E138" s="514"/>
      <c r="F138" s="515"/>
      <c r="G138" s="515"/>
      <c r="H138" s="515"/>
      <c r="I138" s="515"/>
      <c r="J138" s="515"/>
      <c r="K138" s="515"/>
      <c r="L138" s="515"/>
      <c r="M138" s="515"/>
      <c r="N138" s="515"/>
      <c r="O138" s="515"/>
      <c r="P138" s="515"/>
      <c r="Q138" s="515"/>
      <c r="R138" s="515"/>
      <c r="S138" s="515"/>
      <c r="T138" s="515"/>
      <c r="U138" s="515"/>
      <c r="V138" s="515"/>
      <c r="W138" s="515"/>
      <c r="X138" s="515"/>
      <c r="Y138" s="516"/>
      <c r="AC138" s="36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166" t="s">
        <v>2895</v>
      </c>
      <c r="B139" s="125"/>
      <c r="C139" s="11" t="s">
        <v>15</v>
      </c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244"/>
      <c r="X139" s="244"/>
      <c r="Y139" s="245"/>
      <c r="AC139" s="36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165" t="s">
        <v>2873</v>
      </c>
      <c r="B140" s="126"/>
      <c r="C140" s="11" t="s">
        <v>15</v>
      </c>
      <c r="D140" s="217" t="s">
        <v>2869</v>
      </c>
      <c r="E140" s="517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245"/>
      <c r="AC140" s="36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19" t="s">
        <v>33</v>
      </c>
      <c r="B141" s="520"/>
      <c r="C141" s="521"/>
      <c r="D141" s="521"/>
      <c r="E141" s="521"/>
      <c r="F141" s="522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23" t="s">
        <v>2885</v>
      </c>
      <c r="W141" s="524"/>
      <c r="X141" s="524"/>
      <c r="Y141" s="525"/>
      <c r="AC141" s="36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07" t="s">
        <v>35</v>
      </c>
      <c r="B142" s="206"/>
      <c r="C142" s="11" t="s">
        <v>15</v>
      </c>
      <c r="D142" s="498"/>
      <c r="E142" s="499"/>
      <c r="F142" s="500"/>
      <c r="G142" s="512"/>
      <c r="H142" s="512"/>
      <c r="I142" s="512"/>
      <c r="J142" s="512"/>
      <c r="K142" s="512"/>
      <c r="L142" s="512"/>
      <c r="M142" s="512"/>
      <c r="N142" s="512"/>
      <c r="O142" s="512"/>
      <c r="P142" s="512"/>
      <c r="Q142" s="512"/>
      <c r="R142" s="512"/>
      <c r="S142" s="512"/>
      <c r="T142" s="512"/>
      <c r="U142" s="249"/>
      <c r="V142" s="489"/>
      <c r="W142" s="490"/>
      <c r="X142" s="490"/>
      <c r="Y142" s="491"/>
      <c r="AC142" s="36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08" t="s">
        <v>2889</v>
      </c>
      <c r="B143" s="206"/>
      <c r="C143" s="11" t="s">
        <v>15</v>
      </c>
      <c r="D143" s="501"/>
      <c r="E143" s="502"/>
      <c r="F143" s="503"/>
      <c r="G143" s="504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249"/>
      <c r="V143" s="492"/>
      <c r="W143" s="493"/>
      <c r="X143" s="493"/>
      <c r="Y143" s="494"/>
      <c r="AC143" s="36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508" t="s">
        <v>2871</v>
      </c>
      <c r="B144" s="510"/>
      <c r="C144" s="510"/>
      <c r="D144" s="510"/>
      <c r="E144" s="510"/>
      <c r="F144" s="510"/>
      <c r="G144" s="506"/>
      <c r="H144" s="507"/>
      <c r="I144" s="507"/>
      <c r="J144" s="507"/>
      <c r="K144" s="507"/>
      <c r="L144" s="507"/>
      <c r="M144" s="507"/>
      <c r="N144" s="507"/>
      <c r="O144" s="507"/>
      <c r="P144" s="507"/>
      <c r="Q144" s="507"/>
      <c r="R144" s="507"/>
      <c r="S144" s="507"/>
      <c r="T144" s="507"/>
      <c r="U144" s="249"/>
      <c r="V144" s="492"/>
      <c r="W144" s="493"/>
      <c r="X144" s="493"/>
      <c r="Y144" s="494"/>
      <c r="AC144" s="36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509"/>
      <c r="B145" s="511"/>
      <c r="C145" s="511"/>
      <c r="D145" s="511"/>
      <c r="E145" s="511"/>
      <c r="F145" s="511"/>
      <c r="G145" s="506"/>
      <c r="H145" s="507"/>
      <c r="I145" s="507"/>
      <c r="J145" s="507"/>
      <c r="K145" s="507"/>
      <c r="L145" s="507"/>
      <c r="M145" s="507"/>
      <c r="N145" s="507"/>
      <c r="O145" s="507"/>
      <c r="P145" s="507"/>
      <c r="Q145" s="507"/>
      <c r="R145" s="507"/>
      <c r="S145" s="507"/>
      <c r="T145" s="507"/>
      <c r="U145" s="249"/>
      <c r="V145" s="495"/>
      <c r="W145" s="496"/>
      <c r="X145" s="496"/>
      <c r="Y145" s="497"/>
      <c r="AC145" s="36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05" t="s">
        <v>2843</v>
      </c>
      <c r="B146" s="475"/>
      <c r="C146" s="475"/>
      <c r="D146" s="475"/>
      <c r="E146" s="475"/>
      <c r="F146" s="475"/>
      <c r="G146" s="475"/>
      <c r="H146" s="476" t="s">
        <v>2890</v>
      </c>
      <c r="I146" s="477"/>
      <c r="J146" s="477"/>
      <c r="K146" s="478"/>
      <c r="L146" s="476" t="s">
        <v>2891</v>
      </c>
      <c r="M146" s="477"/>
      <c r="N146" s="477"/>
      <c r="O146" s="478"/>
      <c r="P146" s="476" t="s">
        <v>2914</v>
      </c>
      <c r="Q146" s="477"/>
      <c r="R146" s="477"/>
      <c r="S146" s="478"/>
      <c r="T146" s="479"/>
      <c r="U146" s="480"/>
      <c r="V146" s="480"/>
      <c r="W146" s="480"/>
      <c r="X146" s="480"/>
      <c r="Y146" s="481"/>
      <c r="AC146" s="36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82" t="s">
        <v>2872</v>
      </c>
      <c r="B147" s="483"/>
      <c r="C147" s="484"/>
      <c r="D147" s="485" t="s">
        <v>2844</v>
      </c>
      <c r="E147" s="475"/>
      <c r="F147" s="475"/>
      <c r="G147" s="475"/>
      <c r="H147" s="106" t="s">
        <v>2852</v>
      </c>
      <c r="I147" s="248" t="s">
        <v>2850</v>
      </c>
      <c r="J147" s="248" t="s">
        <v>2849</v>
      </c>
      <c r="K147" s="107" t="s">
        <v>2851</v>
      </c>
      <c r="L147" s="106" t="s">
        <v>2852</v>
      </c>
      <c r="M147" s="248" t="s">
        <v>2850</v>
      </c>
      <c r="N147" s="248" t="s">
        <v>2849</v>
      </c>
      <c r="O147" s="107" t="s">
        <v>2851</v>
      </c>
      <c r="P147" s="106" t="s">
        <v>2852</v>
      </c>
      <c r="Q147" s="248" t="s">
        <v>2850</v>
      </c>
      <c r="R147" s="248" t="s">
        <v>2849</v>
      </c>
      <c r="S147" s="107" t="s">
        <v>2851</v>
      </c>
      <c r="T147" s="104"/>
      <c r="U147" s="74"/>
      <c r="V147" s="486" t="s">
        <v>2845</v>
      </c>
      <c r="W147" s="487"/>
      <c r="X147" s="487"/>
      <c r="Y147" s="488"/>
      <c r="AC147" s="36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68"/>
      <c r="B148" s="469"/>
      <c r="C148" s="11" t="s">
        <v>15</v>
      </c>
      <c r="D148" s="400" t="str">
        <f>(IFERROR(VLOOKUP(A148,List!$H$1:$I$2804,2,FALSE),""))</f>
        <v/>
      </c>
      <c r="E148" s="400"/>
      <c r="F148" s="400"/>
      <c r="G148" s="362"/>
      <c r="H148" s="108"/>
      <c r="I148" s="229"/>
      <c r="J148" s="229"/>
      <c r="K148" s="109"/>
      <c r="L148" s="108"/>
      <c r="M148" s="229"/>
      <c r="N148" s="229"/>
      <c r="O148" s="109"/>
      <c r="P148" s="108"/>
      <c r="Q148" s="229"/>
      <c r="R148" s="229"/>
      <c r="S148" s="109"/>
      <c r="T148" s="234"/>
      <c r="U148" s="233"/>
      <c r="V148" s="368"/>
      <c r="W148" s="368"/>
      <c r="X148" s="368"/>
      <c r="Y148" s="470"/>
      <c r="AC148" s="36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68"/>
      <c r="B149" s="469"/>
      <c r="C149" s="11" t="s">
        <v>15</v>
      </c>
      <c r="D149" s="400" t="str">
        <f>(IFERROR(VLOOKUP(A149,List!$H$1:$I$2804,2,FALSE),""))</f>
        <v/>
      </c>
      <c r="E149" s="400"/>
      <c r="F149" s="400"/>
      <c r="G149" s="362"/>
      <c r="H149" s="108"/>
      <c r="I149" s="229"/>
      <c r="J149" s="229"/>
      <c r="K149" s="109"/>
      <c r="L149" s="108"/>
      <c r="M149" s="229"/>
      <c r="N149" s="229"/>
      <c r="O149" s="109"/>
      <c r="P149" s="108"/>
      <c r="Q149" s="229"/>
      <c r="R149" s="229"/>
      <c r="S149" s="109"/>
      <c r="T149" s="234"/>
      <c r="U149" s="233"/>
      <c r="V149" s="368"/>
      <c r="W149" s="368"/>
      <c r="X149" s="368"/>
      <c r="Y149" s="470"/>
      <c r="AC149" s="36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68"/>
      <c r="B150" s="469"/>
      <c r="C150" s="11" t="s">
        <v>15</v>
      </c>
      <c r="D150" s="400" t="str">
        <f>(IFERROR(VLOOKUP(A150,List!$H$1:$I$2804,2,FALSE),""))</f>
        <v/>
      </c>
      <c r="E150" s="400"/>
      <c r="F150" s="400"/>
      <c r="G150" s="362"/>
      <c r="H150" s="108"/>
      <c r="I150" s="229"/>
      <c r="J150" s="229"/>
      <c r="K150" s="109"/>
      <c r="L150" s="108"/>
      <c r="M150" s="229"/>
      <c r="N150" s="229"/>
      <c r="O150" s="109"/>
      <c r="P150" s="108"/>
      <c r="Q150" s="229"/>
      <c r="R150" s="229"/>
      <c r="S150" s="109"/>
      <c r="T150" s="234"/>
      <c r="U150" s="233"/>
      <c r="V150" s="368"/>
      <c r="W150" s="368"/>
      <c r="X150" s="368"/>
      <c r="Y150" s="470"/>
      <c r="AC150" s="36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68"/>
      <c r="B151" s="469"/>
      <c r="C151" s="11" t="s">
        <v>15</v>
      </c>
      <c r="D151" s="400" t="str">
        <f>(IFERROR(VLOOKUP(A151,List!$H$1:$I$2804,2,FALSE),""))</f>
        <v/>
      </c>
      <c r="E151" s="400"/>
      <c r="F151" s="400"/>
      <c r="G151" s="362"/>
      <c r="H151" s="108"/>
      <c r="I151" s="229"/>
      <c r="J151" s="229"/>
      <c r="K151" s="109"/>
      <c r="L151" s="108"/>
      <c r="M151" s="229"/>
      <c r="N151" s="229"/>
      <c r="O151" s="109"/>
      <c r="P151" s="108"/>
      <c r="Q151" s="229"/>
      <c r="R151" s="229"/>
      <c r="S151" s="109"/>
      <c r="T151" s="234"/>
      <c r="U151" s="233"/>
      <c r="V151" s="368"/>
      <c r="W151" s="368"/>
      <c r="X151" s="368"/>
      <c r="Y151" s="470"/>
      <c r="AC151" s="36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68"/>
      <c r="B152" s="469"/>
      <c r="C152" s="11" t="s">
        <v>15</v>
      </c>
      <c r="D152" s="400" t="str">
        <f>(IFERROR(VLOOKUP(A152,List!$H$1:$I$2804,2,FALSE),""))</f>
        <v/>
      </c>
      <c r="E152" s="400"/>
      <c r="F152" s="400"/>
      <c r="G152" s="362"/>
      <c r="H152" s="108"/>
      <c r="I152" s="229"/>
      <c r="J152" s="229"/>
      <c r="K152" s="109"/>
      <c r="L152" s="108"/>
      <c r="M152" s="229"/>
      <c r="N152" s="229"/>
      <c r="O152" s="109"/>
      <c r="P152" s="108"/>
      <c r="Q152" s="229"/>
      <c r="R152" s="229"/>
      <c r="S152" s="109"/>
      <c r="T152" s="234"/>
      <c r="U152" s="233"/>
      <c r="V152" s="368"/>
      <c r="W152" s="368"/>
      <c r="X152" s="368"/>
      <c r="Y152" s="470"/>
      <c r="AC152" s="36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68"/>
      <c r="B153" s="469"/>
      <c r="C153" s="11" t="s">
        <v>15</v>
      </c>
      <c r="D153" s="400" t="str">
        <f>(IFERROR(VLOOKUP(A153,List!$H$1:$I$2804,2,FALSE),""))</f>
        <v/>
      </c>
      <c r="E153" s="400"/>
      <c r="F153" s="400"/>
      <c r="G153" s="362"/>
      <c r="H153" s="108"/>
      <c r="I153" s="229"/>
      <c r="J153" s="229"/>
      <c r="K153" s="109"/>
      <c r="L153" s="108"/>
      <c r="M153" s="229"/>
      <c r="N153" s="229"/>
      <c r="O153" s="109"/>
      <c r="P153" s="108"/>
      <c r="Q153" s="229"/>
      <c r="R153" s="229"/>
      <c r="S153" s="109"/>
      <c r="T153" s="234"/>
      <c r="U153" s="233"/>
      <c r="V153" s="368"/>
      <c r="W153" s="368"/>
      <c r="X153" s="368"/>
      <c r="Y153" s="470"/>
      <c r="AC153" s="36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68"/>
      <c r="B154" s="469"/>
      <c r="C154" s="11" t="s">
        <v>15</v>
      </c>
      <c r="D154" s="400" t="str">
        <f>(IFERROR(VLOOKUP(A154,List!$H$1:$I$2804,2,FALSE),""))</f>
        <v/>
      </c>
      <c r="E154" s="400"/>
      <c r="F154" s="400"/>
      <c r="G154" s="362"/>
      <c r="H154" s="108"/>
      <c r="I154" s="229"/>
      <c r="J154" s="229"/>
      <c r="K154" s="109"/>
      <c r="L154" s="108"/>
      <c r="M154" s="229"/>
      <c r="N154" s="229"/>
      <c r="O154" s="109"/>
      <c r="P154" s="108"/>
      <c r="Q154" s="229"/>
      <c r="R154" s="229"/>
      <c r="S154" s="109"/>
      <c r="T154" s="234"/>
      <c r="U154" s="233"/>
      <c r="V154" s="368"/>
      <c r="W154" s="368"/>
      <c r="X154" s="368"/>
      <c r="Y154" s="470"/>
      <c r="AC154" s="36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68"/>
      <c r="B155" s="469"/>
      <c r="C155" s="11" t="s">
        <v>15</v>
      </c>
      <c r="D155" s="400" t="str">
        <f>(IFERROR(VLOOKUP(A155,List!$H$1:$I$2804,2,FALSE),""))</f>
        <v/>
      </c>
      <c r="E155" s="400"/>
      <c r="F155" s="400"/>
      <c r="G155" s="362"/>
      <c r="H155" s="108"/>
      <c r="I155" s="229"/>
      <c r="J155" s="229"/>
      <c r="K155" s="109"/>
      <c r="L155" s="108"/>
      <c r="M155" s="229"/>
      <c r="N155" s="229"/>
      <c r="O155" s="109"/>
      <c r="P155" s="108"/>
      <c r="Q155" s="229"/>
      <c r="R155" s="229"/>
      <c r="S155" s="109"/>
      <c r="T155" s="234"/>
      <c r="U155" s="233"/>
      <c r="V155" s="368"/>
      <c r="W155" s="368"/>
      <c r="X155" s="368"/>
      <c r="Y155" s="470"/>
      <c r="AC155" s="36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68"/>
      <c r="B156" s="469"/>
      <c r="C156" s="11" t="s">
        <v>15</v>
      </c>
      <c r="D156" s="400" t="str">
        <f>(IFERROR(VLOOKUP(A156,List!$H$1:$I$2804,2,FALSE),""))</f>
        <v/>
      </c>
      <c r="E156" s="400"/>
      <c r="F156" s="400"/>
      <c r="G156" s="362"/>
      <c r="H156" s="108"/>
      <c r="I156" s="229"/>
      <c r="J156" s="229"/>
      <c r="K156" s="109"/>
      <c r="L156" s="108"/>
      <c r="M156" s="229"/>
      <c r="N156" s="229"/>
      <c r="O156" s="109"/>
      <c r="P156" s="108"/>
      <c r="Q156" s="229"/>
      <c r="R156" s="229"/>
      <c r="S156" s="109"/>
      <c r="T156" s="234"/>
      <c r="U156" s="233"/>
      <c r="V156" s="368"/>
      <c r="W156" s="368"/>
      <c r="X156" s="368"/>
      <c r="Y156" s="470"/>
      <c r="AC156" s="36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68"/>
      <c r="B157" s="469"/>
      <c r="C157" s="11" t="s">
        <v>15</v>
      </c>
      <c r="D157" s="400" t="str">
        <f>(IFERROR(VLOOKUP(A157,List!$H$1:$I$2804,2,FALSE),""))</f>
        <v/>
      </c>
      <c r="E157" s="400"/>
      <c r="F157" s="400"/>
      <c r="G157" s="362"/>
      <c r="H157" s="108"/>
      <c r="I157" s="229"/>
      <c r="J157" s="229"/>
      <c r="K157" s="109"/>
      <c r="L157" s="108"/>
      <c r="M157" s="229"/>
      <c r="N157" s="229"/>
      <c r="O157" s="109"/>
      <c r="P157" s="108"/>
      <c r="Q157" s="229"/>
      <c r="R157" s="229"/>
      <c r="S157" s="109"/>
      <c r="T157" s="234"/>
      <c r="U157" s="233"/>
      <c r="V157" s="368"/>
      <c r="W157" s="368"/>
      <c r="X157" s="368"/>
      <c r="Y157" s="470"/>
      <c r="AC157" s="36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68"/>
      <c r="B158" s="469"/>
      <c r="C158" s="11" t="s">
        <v>15</v>
      </c>
      <c r="D158" s="400" t="str">
        <f>(IFERROR(VLOOKUP(A158,List!$H$1:$I$2804,2,FALSE),""))</f>
        <v/>
      </c>
      <c r="E158" s="400"/>
      <c r="F158" s="400"/>
      <c r="G158" s="362"/>
      <c r="H158" s="108"/>
      <c r="I158" s="229"/>
      <c r="J158" s="229"/>
      <c r="K158" s="109"/>
      <c r="L158" s="108"/>
      <c r="M158" s="229"/>
      <c r="N158" s="229"/>
      <c r="O158" s="109"/>
      <c r="P158" s="108"/>
      <c r="Q158" s="229"/>
      <c r="R158" s="229"/>
      <c r="S158" s="109"/>
      <c r="T158" s="234"/>
      <c r="U158" s="233"/>
      <c r="V158" s="368"/>
      <c r="W158" s="368"/>
      <c r="X158" s="368"/>
      <c r="Y158" s="470"/>
      <c r="AC158" s="36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68"/>
      <c r="B159" s="469"/>
      <c r="C159" s="11" t="s">
        <v>15</v>
      </c>
      <c r="D159" s="400" t="str">
        <f>(IFERROR(VLOOKUP(A159,List!$H$1:$I$2804,2,FALSE),""))</f>
        <v/>
      </c>
      <c r="E159" s="400"/>
      <c r="F159" s="400"/>
      <c r="G159" s="362"/>
      <c r="H159" s="108"/>
      <c r="I159" s="229"/>
      <c r="J159" s="229"/>
      <c r="K159" s="109"/>
      <c r="L159" s="108"/>
      <c r="M159" s="229"/>
      <c r="N159" s="229"/>
      <c r="O159" s="109"/>
      <c r="P159" s="108"/>
      <c r="Q159" s="229"/>
      <c r="R159" s="229"/>
      <c r="S159" s="109"/>
      <c r="T159" s="234"/>
      <c r="U159" s="233"/>
      <c r="V159" s="368"/>
      <c r="W159" s="368"/>
      <c r="X159" s="368"/>
      <c r="Y159" s="470"/>
      <c r="AC159" s="36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68"/>
      <c r="B160" s="469"/>
      <c r="C160" s="11" t="s">
        <v>15</v>
      </c>
      <c r="D160" s="400" t="str">
        <f>(IFERROR(VLOOKUP(A160,List!$H$1:$I$2804,2,FALSE),""))</f>
        <v/>
      </c>
      <c r="E160" s="400"/>
      <c r="F160" s="400"/>
      <c r="G160" s="362"/>
      <c r="H160" s="108"/>
      <c r="I160" s="229"/>
      <c r="J160" s="229"/>
      <c r="K160" s="109"/>
      <c r="L160" s="108"/>
      <c r="M160" s="229"/>
      <c r="N160" s="229"/>
      <c r="O160" s="109"/>
      <c r="P160" s="108"/>
      <c r="Q160" s="229"/>
      <c r="R160" s="229"/>
      <c r="S160" s="109"/>
      <c r="T160" s="234"/>
      <c r="U160" s="233"/>
      <c r="V160" s="368"/>
      <c r="W160" s="368"/>
      <c r="X160" s="368"/>
      <c r="Y160" s="470"/>
      <c r="AC160" s="36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68"/>
      <c r="B161" s="469"/>
      <c r="C161" s="11" t="s">
        <v>15</v>
      </c>
      <c r="D161" s="400" t="str">
        <f>(IFERROR(VLOOKUP(A161,List!$H$1:$I$2804,2,FALSE),""))</f>
        <v/>
      </c>
      <c r="E161" s="400"/>
      <c r="F161" s="400"/>
      <c r="G161" s="362"/>
      <c r="H161" s="108"/>
      <c r="I161" s="229"/>
      <c r="J161" s="229"/>
      <c r="K161" s="109"/>
      <c r="L161" s="108"/>
      <c r="M161" s="229"/>
      <c r="N161" s="229"/>
      <c r="O161" s="109"/>
      <c r="P161" s="108"/>
      <c r="Q161" s="229"/>
      <c r="R161" s="229"/>
      <c r="S161" s="109"/>
      <c r="T161" s="234"/>
      <c r="U161" s="233"/>
      <c r="V161" s="368"/>
      <c r="W161" s="368"/>
      <c r="X161" s="368"/>
      <c r="Y161" s="470"/>
      <c r="AC161" s="36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68"/>
      <c r="B162" s="469"/>
      <c r="C162" s="11" t="s">
        <v>15</v>
      </c>
      <c r="D162" s="400" t="str">
        <f>(IFERROR(VLOOKUP(A162,List!$H$1:$I$2804,2,FALSE),""))</f>
        <v/>
      </c>
      <c r="E162" s="400"/>
      <c r="F162" s="400"/>
      <c r="G162" s="362"/>
      <c r="H162" s="108"/>
      <c r="I162" s="229"/>
      <c r="J162" s="229"/>
      <c r="K162" s="109"/>
      <c r="L162" s="108"/>
      <c r="M162" s="229"/>
      <c r="N162" s="229"/>
      <c r="O162" s="109"/>
      <c r="P162" s="108"/>
      <c r="Q162" s="229"/>
      <c r="R162" s="229"/>
      <c r="S162" s="109"/>
      <c r="T162" s="234"/>
      <c r="U162" s="233"/>
      <c r="V162" s="368"/>
      <c r="W162" s="368"/>
      <c r="X162" s="368"/>
      <c r="Y162" s="470"/>
      <c r="AC162" s="36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68"/>
      <c r="B163" s="469"/>
      <c r="C163" s="11" t="s">
        <v>15</v>
      </c>
      <c r="D163" s="400" t="str">
        <f>(IFERROR(VLOOKUP(A163,List!$H$1:$I$2804,2,FALSE),""))</f>
        <v/>
      </c>
      <c r="E163" s="400"/>
      <c r="F163" s="400"/>
      <c r="G163" s="362"/>
      <c r="H163" s="108"/>
      <c r="I163" s="229"/>
      <c r="J163" s="229"/>
      <c r="K163" s="109"/>
      <c r="L163" s="108"/>
      <c r="M163" s="229"/>
      <c r="N163" s="229"/>
      <c r="O163" s="109"/>
      <c r="P163" s="108"/>
      <c r="Q163" s="229"/>
      <c r="R163" s="229"/>
      <c r="S163" s="109"/>
      <c r="T163" s="234"/>
      <c r="U163" s="233"/>
      <c r="V163" s="368"/>
      <c r="W163" s="368"/>
      <c r="X163" s="368"/>
      <c r="Y163" s="470"/>
      <c r="AC163" s="36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68"/>
      <c r="B164" s="469"/>
      <c r="C164" s="11" t="s">
        <v>15</v>
      </c>
      <c r="D164" s="400" t="str">
        <f>(IFERROR(VLOOKUP(A164,List!$H$1:$I$2804,2,FALSE),""))</f>
        <v/>
      </c>
      <c r="E164" s="400"/>
      <c r="F164" s="400"/>
      <c r="G164" s="362"/>
      <c r="H164" s="108"/>
      <c r="I164" s="229"/>
      <c r="J164" s="229"/>
      <c r="K164" s="109"/>
      <c r="L164" s="108"/>
      <c r="M164" s="229"/>
      <c r="N164" s="229"/>
      <c r="O164" s="109"/>
      <c r="P164" s="108"/>
      <c r="Q164" s="229"/>
      <c r="R164" s="229"/>
      <c r="S164" s="109"/>
      <c r="T164" s="234"/>
      <c r="U164" s="233"/>
      <c r="V164" s="368"/>
      <c r="W164" s="368"/>
      <c r="X164" s="368"/>
      <c r="Y164" s="470"/>
      <c r="AC164" s="36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68"/>
      <c r="B165" s="469"/>
      <c r="C165" s="11" t="s">
        <v>15</v>
      </c>
      <c r="D165" s="400" t="str">
        <f>(IFERROR(VLOOKUP(A165,List!$H$1:$I$2804,2,FALSE),""))</f>
        <v/>
      </c>
      <c r="E165" s="400"/>
      <c r="F165" s="400"/>
      <c r="G165" s="362"/>
      <c r="H165" s="108"/>
      <c r="I165" s="229"/>
      <c r="J165" s="229"/>
      <c r="K165" s="109"/>
      <c r="L165" s="108"/>
      <c r="M165" s="229"/>
      <c r="N165" s="229"/>
      <c r="O165" s="109"/>
      <c r="P165" s="108"/>
      <c r="Q165" s="229"/>
      <c r="R165" s="229"/>
      <c r="S165" s="109"/>
      <c r="T165" s="234"/>
      <c r="U165" s="233"/>
      <c r="V165" s="368"/>
      <c r="W165" s="368"/>
      <c r="X165" s="368"/>
      <c r="Y165" s="470"/>
      <c r="AC165" s="36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68"/>
      <c r="B166" s="469"/>
      <c r="C166" s="11" t="s">
        <v>15</v>
      </c>
      <c r="D166" s="400" t="str">
        <f>(IFERROR(VLOOKUP(A166,List!$H$1:$I$2804,2,FALSE),""))</f>
        <v/>
      </c>
      <c r="E166" s="400"/>
      <c r="F166" s="400"/>
      <c r="G166" s="362"/>
      <c r="H166" s="108"/>
      <c r="I166" s="229"/>
      <c r="J166" s="229"/>
      <c r="K166" s="109"/>
      <c r="L166" s="108"/>
      <c r="M166" s="229"/>
      <c r="N166" s="229"/>
      <c r="O166" s="109"/>
      <c r="P166" s="108"/>
      <c r="Q166" s="229"/>
      <c r="R166" s="229"/>
      <c r="S166" s="109"/>
      <c r="T166" s="234"/>
      <c r="U166" s="233"/>
      <c r="V166" s="368"/>
      <c r="W166" s="368"/>
      <c r="X166" s="368"/>
      <c r="Y166" s="470"/>
      <c r="AC166" s="36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68"/>
      <c r="B167" s="469"/>
      <c r="C167" s="11" t="s">
        <v>15</v>
      </c>
      <c r="D167" s="400" t="str">
        <f>(IFERROR(VLOOKUP(A167,List!$H$1:$I$2804,2,FALSE),""))</f>
        <v/>
      </c>
      <c r="E167" s="400"/>
      <c r="F167" s="400"/>
      <c r="G167" s="362"/>
      <c r="H167" s="108"/>
      <c r="I167" s="229"/>
      <c r="J167" s="229"/>
      <c r="K167" s="109"/>
      <c r="L167" s="108"/>
      <c r="M167" s="229"/>
      <c r="N167" s="229"/>
      <c r="O167" s="109"/>
      <c r="P167" s="108"/>
      <c r="Q167" s="229"/>
      <c r="R167" s="229"/>
      <c r="S167" s="109"/>
      <c r="T167" s="234"/>
      <c r="U167" s="233"/>
      <c r="V167" s="368"/>
      <c r="W167" s="368"/>
      <c r="X167" s="368"/>
      <c r="Y167" s="470"/>
      <c r="AC167" s="36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68"/>
      <c r="B168" s="469"/>
      <c r="C168" s="11" t="s">
        <v>15</v>
      </c>
      <c r="D168" s="400" t="str">
        <f>(IFERROR(VLOOKUP(A168,List!$H$1:$I$2804,2,FALSE),""))</f>
        <v/>
      </c>
      <c r="E168" s="400"/>
      <c r="F168" s="400"/>
      <c r="G168" s="362"/>
      <c r="H168" s="108"/>
      <c r="I168" s="229"/>
      <c r="J168" s="229"/>
      <c r="K168" s="109"/>
      <c r="L168" s="108"/>
      <c r="M168" s="229"/>
      <c r="N168" s="229"/>
      <c r="O168" s="109"/>
      <c r="P168" s="108"/>
      <c r="Q168" s="229"/>
      <c r="R168" s="229"/>
      <c r="S168" s="109"/>
      <c r="T168" s="234"/>
      <c r="U168" s="233"/>
      <c r="V168" s="368"/>
      <c r="W168" s="368"/>
      <c r="X168" s="368"/>
      <c r="Y168" s="470"/>
      <c r="AC168" s="36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68"/>
      <c r="B169" s="469"/>
      <c r="C169" s="11" t="s">
        <v>15</v>
      </c>
      <c r="D169" s="400" t="str">
        <f>(IFERROR(VLOOKUP(A169,List!$H$1:$I$2804,2,FALSE),""))</f>
        <v/>
      </c>
      <c r="E169" s="400"/>
      <c r="F169" s="400"/>
      <c r="G169" s="362"/>
      <c r="H169" s="108"/>
      <c r="I169" s="229"/>
      <c r="J169" s="229"/>
      <c r="K169" s="109"/>
      <c r="L169" s="108"/>
      <c r="M169" s="229"/>
      <c r="N169" s="229"/>
      <c r="O169" s="109"/>
      <c r="P169" s="108"/>
      <c r="Q169" s="229"/>
      <c r="R169" s="229"/>
      <c r="S169" s="109"/>
      <c r="T169" s="234"/>
      <c r="U169" s="233"/>
      <c r="V169" s="368"/>
      <c r="W169" s="368"/>
      <c r="X169" s="368"/>
      <c r="Y169" s="470"/>
      <c r="AC169" s="36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68"/>
      <c r="B170" s="469"/>
      <c r="C170" s="11" t="s">
        <v>15</v>
      </c>
      <c r="D170" s="400" t="str">
        <f>(IFERROR(VLOOKUP(A170,List!$H$1:$I$2804,2,FALSE),""))</f>
        <v/>
      </c>
      <c r="E170" s="400"/>
      <c r="F170" s="400"/>
      <c r="G170" s="362"/>
      <c r="H170" s="108"/>
      <c r="I170" s="229"/>
      <c r="J170" s="229"/>
      <c r="K170" s="109"/>
      <c r="L170" s="108"/>
      <c r="M170" s="229"/>
      <c r="N170" s="229"/>
      <c r="O170" s="109"/>
      <c r="P170" s="108"/>
      <c r="Q170" s="229"/>
      <c r="R170" s="229"/>
      <c r="S170" s="109"/>
      <c r="T170" s="234"/>
      <c r="U170" s="233"/>
      <c r="V170" s="368"/>
      <c r="W170" s="368"/>
      <c r="X170" s="368"/>
      <c r="Y170" s="470"/>
      <c r="AC170" s="36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68"/>
      <c r="B171" s="469"/>
      <c r="C171" s="11" t="s">
        <v>15</v>
      </c>
      <c r="D171" s="400" t="str">
        <f>(IFERROR(VLOOKUP(A171,List!$H$1:$I$2804,2,FALSE),""))</f>
        <v/>
      </c>
      <c r="E171" s="400"/>
      <c r="F171" s="400"/>
      <c r="G171" s="362"/>
      <c r="H171" s="108"/>
      <c r="I171" s="229"/>
      <c r="J171" s="229"/>
      <c r="K171" s="109"/>
      <c r="L171" s="108"/>
      <c r="M171" s="229"/>
      <c r="N171" s="229"/>
      <c r="O171" s="109"/>
      <c r="P171" s="108"/>
      <c r="Q171" s="229"/>
      <c r="R171" s="229"/>
      <c r="S171" s="109"/>
      <c r="T171" s="234"/>
      <c r="U171" s="233"/>
      <c r="V171" s="368"/>
      <c r="W171" s="368"/>
      <c r="X171" s="368"/>
      <c r="Y171" s="470"/>
      <c r="AC171" s="36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68"/>
      <c r="B172" s="469"/>
      <c r="C172" s="11" t="s">
        <v>15</v>
      </c>
      <c r="D172" s="400" t="str">
        <f>(IFERROR(VLOOKUP(A172,List!$H$1:$I$2804,2,FALSE),""))</f>
        <v/>
      </c>
      <c r="E172" s="400"/>
      <c r="F172" s="400"/>
      <c r="G172" s="362"/>
      <c r="H172" s="108"/>
      <c r="I172" s="229"/>
      <c r="J172" s="229"/>
      <c r="K172" s="109"/>
      <c r="L172" s="108"/>
      <c r="M172" s="229"/>
      <c r="N172" s="229"/>
      <c r="O172" s="109"/>
      <c r="P172" s="108"/>
      <c r="Q172" s="229"/>
      <c r="R172" s="229"/>
      <c r="S172" s="109"/>
      <c r="T172" s="234"/>
      <c r="U172" s="233"/>
      <c r="V172" s="368"/>
      <c r="W172" s="368"/>
      <c r="X172" s="368"/>
      <c r="Y172" s="470"/>
      <c r="AC172" s="36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68"/>
      <c r="B173" s="469"/>
      <c r="C173" s="11" t="s">
        <v>15</v>
      </c>
      <c r="D173" s="400" t="str">
        <f>(IFERROR(VLOOKUP(A173,List!$H$1:$I$2804,2,FALSE),""))</f>
        <v/>
      </c>
      <c r="E173" s="400"/>
      <c r="F173" s="400"/>
      <c r="G173" s="362"/>
      <c r="H173" s="108"/>
      <c r="I173" s="229"/>
      <c r="J173" s="229"/>
      <c r="K173" s="109"/>
      <c r="L173" s="108"/>
      <c r="M173" s="229"/>
      <c r="N173" s="229"/>
      <c r="O173" s="109"/>
      <c r="P173" s="108"/>
      <c r="Q173" s="229"/>
      <c r="R173" s="229"/>
      <c r="S173" s="109"/>
      <c r="T173" s="234"/>
      <c r="U173" s="233"/>
      <c r="V173" s="368"/>
      <c r="W173" s="368"/>
      <c r="X173" s="368"/>
      <c r="Y173" s="470"/>
      <c r="AC173" s="36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68"/>
      <c r="B174" s="469"/>
      <c r="C174" s="11" t="s">
        <v>15</v>
      </c>
      <c r="D174" s="400" t="str">
        <f>(IFERROR(VLOOKUP(A174,List!$H$1:$I$2804,2,FALSE),""))</f>
        <v/>
      </c>
      <c r="E174" s="400"/>
      <c r="F174" s="400"/>
      <c r="G174" s="362"/>
      <c r="H174" s="108"/>
      <c r="I174" s="229"/>
      <c r="J174" s="229"/>
      <c r="K174" s="109"/>
      <c r="L174" s="108"/>
      <c r="M174" s="229"/>
      <c r="N174" s="229"/>
      <c r="O174" s="109"/>
      <c r="P174" s="108"/>
      <c r="Q174" s="229"/>
      <c r="R174" s="229"/>
      <c r="S174" s="109"/>
      <c r="T174" s="234"/>
      <c r="U174" s="233"/>
      <c r="V174" s="368"/>
      <c r="W174" s="368"/>
      <c r="X174" s="368"/>
      <c r="Y174" s="470"/>
      <c r="AC174" s="36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68"/>
      <c r="B175" s="469"/>
      <c r="C175" s="11" t="s">
        <v>15</v>
      </c>
      <c r="D175" s="471" t="str">
        <f>(IFERROR(VLOOKUP(A175,List!$H$1:$I$2804,2,FALSE),""))</f>
        <v/>
      </c>
      <c r="E175" s="472"/>
      <c r="F175" s="472"/>
      <c r="G175" s="472"/>
      <c r="H175" s="110"/>
      <c r="I175" s="102"/>
      <c r="J175" s="102"/>
      <c r="K175" s="111"/>
      <c r="L175" s="110"/>
      <c r="M175" s="102"/>
      <c r="N175" s="102"/>
      <c r="O175" s="111"/>
      <c r="P175" s="110"/>
      <c r="Q175" s="102"/>
      <c r="R175" s="102"/>
      <c r="S175" s="111"/>
      <c r="T175" s="105"/>
      <c r="U175" s="240"/>
      <c r="V175" s="473"/>
      <c r="W175" s="473"/>
      <c r="X175" s="473"/>
      <c r="Y175" s="474"/>
      <c r="AC175" s="36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4"/>
      <c r="B176" s="444"/>
      <c r="C176" s="445" t="s">
        <v>2892</v>
      </c>
      <c r="D176" s="446"/>
      <c r="E176" s="446"/>
      <c r="F176" s="446"/>
      <c r="G176" s="447"/>
      <c r="H176" s="212">
        <f>SUM(H148:H175)</f>
        <v>0</v>
      </c>
      <c r="I176" s="213">
        <f t="shared" ref="I176:S176" si="23">SUM(I148:I175)</f>
        <v>0</v>
      </c>
      <c r="J176" s="213">
        <f t="shared" si="23"/>
        <v>0</v>
      </c>
      <c r="K176" s="214">
        <f t="shared" si="23"/>
        <v>0</v>
      </c>
      <c r="L176" s="215">
        <f t="shared" si="23"/>
        <v>0</v>
      </c>
      <c r="M176" s="213">
        <f t="shared" si="23"/>
        <v>0</v>
      </c>
      <c r="N176" s="213">
        <f t="shared" si="23"/>
        <v>0</v>
      </c>
      <c r="O176" s="214">
        <f t="shared" si="23"/>
        <v>0</v>
      </c>
      <c r="P176" s="216">
        <f t="shared" si="23"/>
        <v>0</v>
      </c>
      <c r="Q176" s="116">
        <f t="shared" si="23"/>
        <v>0</v>
      </c>
      <c r="R176" s="116">
        <f t="shared" si="23"/>
        <v>0</v>
      </c>
      <c r="S176" s="117">
        <f t="shared" si="23"/>
        <v>0</v>
      </c>
      <c r="T176" s="247"/>
      <c r="U176" s="247"/>
      <c r="V176" s="247"/>
      <c r="W176" s="247"/>
      <c r="X176" s="115"/>
      <c r="Y176" s="114"/>
      <c r="AC176" s="36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80" t="s">
        <v>2862</v>
      </c>
      <c r="B177" s="81"/>
      <c r="C177" s="113"/>
      <c r="D177" s="448" t="s">
        <v>2863</v>
      </c>
      <c r="E177" s="448"/>
      <c r="F177" s="448"/>
      <c r="G177" s="448"/>
      <c r="H177" s="449"/>
      <c r="I177" s="450"/>
      <c r="J177" s="450"/>
      <c r="K177" s="450"/>
      <c r="L177" s="450"/>
      <c r="M177" s="450"/>
      <c r="N177" s="450"/>
      <c r="O177" s="450"/>
      <c r="P177" s="451"/>
      <c r="Q177" s="450" t="s">
        <v>2899</v>
      </c>
      <c r="R177" s="450"/>
      <c r="S177" s="450"/>
      <c r="T177" s="458" t="s">
        <v>2870</v>
      </c>
      <c r="U177" s="459"/>
      <c r="V177" s="460"/>
      <c r="W177" s="118" t="s">
        <v>2893</v>
      </c>
      <c r="X177" s="462" t="s">
        <v>2894</v>
      </c>
      <c r="Y177" s="119"/>
      <c r="AC177" s="36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65" t="s">
        <v>2864</v>
      </c>
      <c r="B178" s="66"/>
      <c r="C178" s="67"/>
      <c r="D178" s="463"/>
      <c r="E178" s="464"/>
      <c r="F178" s="464"/>
      <c r="G178" s="464"/>
      <c r="H178" s="452"/>
      <c r="I178" s="453"/>
      <c r="J178" s="453"/>
      <c r="K178" s="453"/>
      <c r="L178" s="453"/>
      <c r="M178" s="453"/>
      <c r="N178" s="453"/>
      <c r="O178" s="453"/>
      <c r="P178" s="454"/>
      <c r="Q178" s="180"/>
      <c r="R178" s="180"/>
      <c r="S178" s="180"/>
      <c r="T178" s="466"/>
      <c r="U178" s="464"/>
      <c r="V178" s="461"/>
      <c r="W178" s="98"/>
      <c r="X178" s="462"/>
      <c r="Y178" s="120"/>
      <c r="AC178" s="36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68" t="s">
        <v>2865</v>
      </c>
      <c r="B179" s="69"/>
      <c r="C179" s="66"/>
      <c r="D179" s="464"/>
      <c r="E179" s="464"/>
      <c r="F179" s="464"/>
      <c r="G179" s="464"/>
      <c r="H179" s="452"/>
      <c r="I179" s="453"/>
      <c r="J179" s="453"/>
      <c r="K179" s="453"/>
      <c r="L179" s="453"/>
      <c r="M179" s="453"/>
      <c r="N179" s="453"/>
      <c r="O179" s="453"/>
      <c r="P179" s="454"/>
      <c r="Q179" s="180"/>
      <c r="R179" s="180"/>
      <c r="S179" s="180"/>
      <c r="T179" s="464"/>
      <c r="U179" s="464"/>
      <c r="V179" s="461"/>
      <c r="W179" s="98"/>
      <c r="X179" s="467"/>
      <c r="Y179" s="443"/>
      <c r="AC179" s="36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68" t="s">
        <v>2866</v>
      </c>
      <c r="B180" s="70"/>
      <c r="C180" s="66"/>
      <c r="D180" s="464"/>
      <c r="E180" s="464"/>
      <c r="F180" s="464"/>
      <c r="G180" s="464"/>
      <c r="H180" s="452"/>
      <c r="I180" s="453"/>
      <c r="J180" s="453"/>
      <c r="K180" s="453"/>
      <c r="L180" s="453"/>
      <c r="M180" s="453"/>
      <c r="N180" s="453"/>
      <c r="O180" s="453"/>
      <c r="P180" s="454"/>
      <c r="Q180" s="180"/>
      <c r="R180" s="180"/>
      <c r="S180" s="180"/>
      <c r="T180" s="464"/>
      <c r="U180" s="464"/>
      <c r="V180" s="241" t="s">
        <v>2884</v>
      </c>
      <c r="W180" s="98"/>
      <c r="X180" s="467"/>
      <c r="Y180" s="443"/>
      <c r="AC180" s="36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71" t="s">
        <v>2867</v>
      </c>
      <c r="B181" s="72"/>
      <c r="C181" s="73"/>
      <c r="D181" s="465"/>
      <c r="E181" s="465"/>
      <c r="F181" s="465"/>
      <c r="G181" s="465"/>
      <c r="H181" s="455"/>
      <c r="I181" s="456"/>
      <c r="J181" s="456"/>
      <c r="K181" s="456"/>
      <c r="L181" s="456"/>
      <c r="M181" s="456"/>
      <c r="N181" s="456"/>
      <c r="O181" s="456"/>
      <c r="P181" s="457"/>
      <c r="Q181" s="181"/>
      <c r="R181" s="181"/>
      <c r="S181" s="181"/>
      <c r="T181" s="465"/>
      <c r="U181" s="465"/>
      <c r="V181" s="79"/>
      <c r="W181" s="242" t="s">
        <v>2883</v>
      </c>
      <c r="X181" s="163" t="s">
        <v>6</v>
      </c>
      <c r="Y181" s="243"/>
      <c r="AC181" s="36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2934</v>
      </c>
      <c r="AC182" s="36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6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6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6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6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6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6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6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6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6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6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6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6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6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6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6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6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6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6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6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6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6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6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6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6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6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6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6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6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6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6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6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6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6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6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6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6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6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6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6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6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6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6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6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6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6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6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6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6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6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6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6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6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6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6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6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6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6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6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6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6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6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6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6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6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6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6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6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6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6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6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6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6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6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6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6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6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6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6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6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6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6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6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6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6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6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6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6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6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6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6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6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6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6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6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6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6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6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6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6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6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6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6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6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6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6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6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6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6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6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6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6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6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6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6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6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6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6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6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6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6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6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6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6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6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6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6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6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6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6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6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6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6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6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6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6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6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6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6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6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6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6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6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6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6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6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6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6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6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6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6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6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6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6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6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6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6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6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6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6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6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6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6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6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6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6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6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6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6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6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6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6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6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6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6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6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6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6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6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6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6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6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6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6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6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6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6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6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6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6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6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6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6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6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6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6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6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6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6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6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6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6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6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6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6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6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6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6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6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6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6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6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6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6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6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6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6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6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6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6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6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6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6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6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6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6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6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6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6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6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6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6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6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6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6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6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6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6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6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6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6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6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6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6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6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6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6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6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6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6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6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6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6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6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6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6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6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6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6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6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6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6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6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6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6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6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6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6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6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6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6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6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6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6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6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6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6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6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6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6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6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6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6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6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6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6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6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6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6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6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6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6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6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6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6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6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6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6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6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6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6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6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6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6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6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6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6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6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6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6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6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6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6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6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6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6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6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6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6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6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6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6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6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6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6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6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6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6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6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6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6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6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6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6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6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6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6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6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6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6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6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6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6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6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6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6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6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6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6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6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6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6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6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6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6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6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6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6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6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6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6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6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6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6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6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6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6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6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6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6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6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6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6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6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6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6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6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6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6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6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6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6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6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6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6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6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6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6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6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6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6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6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6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6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6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6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6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6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6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6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6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6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6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6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6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6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6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6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6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6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6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6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6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6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6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6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6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6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6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6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6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6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6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6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6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6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6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6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6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6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6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6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6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6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6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6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6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6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6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6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6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6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6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6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6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6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6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6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6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6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6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6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6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6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6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6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6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6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6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6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6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6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6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6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6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6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6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6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6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6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6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6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6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6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6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6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6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6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6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6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6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6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6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6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6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6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6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6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6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6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6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6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6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6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6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6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6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6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6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6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6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6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6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6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6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6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6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6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6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6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6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6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6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6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6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6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6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6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6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6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6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6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6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6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6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6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6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6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6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6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6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6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6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6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6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6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6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6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6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6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6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6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6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6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6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6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6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6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6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6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6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6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6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6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6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6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6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6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6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6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6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6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6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6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6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6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6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6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6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6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6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6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6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6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6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6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6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6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6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6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6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6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6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6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6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6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6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6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6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6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6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6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6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6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6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6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6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6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6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6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6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6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6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6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6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6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6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6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6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6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6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6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6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6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6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6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6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6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6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6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6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6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6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6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6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6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6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6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6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6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6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6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6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6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6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6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6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6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6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6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6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6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6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6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6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6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6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6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6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6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6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6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6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6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6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6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6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6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6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6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6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6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6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6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6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6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6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6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6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6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6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6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6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6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6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6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6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6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6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6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6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6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6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6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6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6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6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6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6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6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6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6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6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6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6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6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6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6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6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6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6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6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6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6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6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6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6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6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6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6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6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6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6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6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6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6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6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6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6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6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6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6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6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6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6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6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6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6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6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6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6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6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6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6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6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6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6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6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6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6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6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6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6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6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6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6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6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6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6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6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6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6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6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6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6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6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6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6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6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6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6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6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6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6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6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6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6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6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6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6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6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6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6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6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6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6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6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6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6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6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6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6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6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6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6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6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6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6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6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6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6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6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6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6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6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6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6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6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6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6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6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6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6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6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6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6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6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6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6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6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6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6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6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6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6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6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6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6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6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6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6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6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6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6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6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6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6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6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6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6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6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6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6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6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6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6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6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6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6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6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6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6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6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6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6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6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6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6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6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6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6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6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6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6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6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6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6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6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6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6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6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6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6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6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6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6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6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6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6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6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6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6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6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6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6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6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6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6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6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6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6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6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6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6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6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6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6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6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6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6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6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6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6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6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6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6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6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6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6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6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6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6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6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6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6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6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6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6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6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6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6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6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6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6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6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6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6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6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6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6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6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6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6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6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6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6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6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6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6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6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6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6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6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6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6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6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6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6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6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6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6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6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6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6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6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6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6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6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6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6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6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6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6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6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6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6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6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6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6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6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6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6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6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6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6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6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6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6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6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6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6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6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6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6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6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6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6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6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6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6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6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6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6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6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6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6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6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6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6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6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6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6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6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6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6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6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6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6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6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6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6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6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6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6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6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6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6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6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6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6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6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6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6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6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6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6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6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6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6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6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6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6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6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6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6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6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6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6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6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6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6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6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6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6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6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6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6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6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6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6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6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6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6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6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6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6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6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6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6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6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6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6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6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6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6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6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6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6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6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6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6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6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6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6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6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6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6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6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6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6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6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6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6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6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6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6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6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6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6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6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6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6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6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6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6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6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6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6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6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6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6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6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6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6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6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6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6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6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6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6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6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6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6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6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6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6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6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6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6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6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6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6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6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6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6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6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6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6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6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6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6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6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6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6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6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6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6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6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6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6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6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6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6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6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6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6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6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6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6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6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6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6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6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6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6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6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6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6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6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6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6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6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6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6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6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6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6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6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6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6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6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6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6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6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6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6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6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6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6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6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6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6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6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6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6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6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6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6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6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6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6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6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6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6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6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6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6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6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6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6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6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6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6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6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6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6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6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6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6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6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6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6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6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6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6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6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6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6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6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6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6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6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6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6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6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6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6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6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6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6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6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6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6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6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6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6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6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6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6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6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6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6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6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6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6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6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6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6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6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6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6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6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6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6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6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6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6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6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6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6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6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6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6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6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6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6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6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6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6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6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6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6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6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6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6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6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6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6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6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6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6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6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6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6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6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6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6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6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6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6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6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6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6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6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6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6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6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6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6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6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6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6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6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6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6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6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6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6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6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6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6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6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6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6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6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6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6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6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6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6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6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6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6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6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6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6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6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6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6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6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6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6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6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6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6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6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6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6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6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6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6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6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6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6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6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6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6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6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6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6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6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6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6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6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6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6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6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6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6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6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6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6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6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6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6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6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6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6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6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6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6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6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6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6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6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6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6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6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6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6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6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6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6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6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6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6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6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6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6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6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6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6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6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6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6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6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6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6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6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6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6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6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6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6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6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6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6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6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6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6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6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6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6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6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6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6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6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6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6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6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6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6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6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6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6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6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6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6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6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6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6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6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6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6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6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6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6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6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6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6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6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6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6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6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6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6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6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6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6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6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6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6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6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6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6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6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6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6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6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6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6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6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6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6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6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6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6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6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6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6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6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6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6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6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6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6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6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6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6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6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6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6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6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6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6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6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6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6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6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6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6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6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6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6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6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6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6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6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6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6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6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6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6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6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6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6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6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6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6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6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6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6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6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6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6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6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6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6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6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6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6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6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6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6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6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6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6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6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6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6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6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6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6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6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6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6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6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6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6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6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6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6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6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6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6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6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6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6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6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6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6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6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6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6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6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6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6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6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6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6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6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6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6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6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6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6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6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6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6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6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6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6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6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6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6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6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6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6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6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6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6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6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6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6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6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6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6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6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6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6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6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6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6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6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6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6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6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6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6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6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6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6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6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6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6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6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6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6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6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6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6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6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6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6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6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6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6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6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6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6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6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6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6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6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6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6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6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6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6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6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6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6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6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6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6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6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6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6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6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6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6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6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6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6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6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6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6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6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6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6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6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6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6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6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6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6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6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6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6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6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6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6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6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6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6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6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6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6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6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6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6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6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6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6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6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6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6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6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6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6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6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6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6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6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6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6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6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6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6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6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6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6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6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6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6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6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6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6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6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6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6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6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6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6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6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6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6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6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6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6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6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6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6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6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6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6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6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6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6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6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6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6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6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6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6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6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6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6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6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6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6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6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6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6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6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6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6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6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6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6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6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6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6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6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6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6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6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6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6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6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6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6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6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6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6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6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6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6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6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6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6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6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6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6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6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6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6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6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6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6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6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6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6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6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6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6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6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6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6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6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6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6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6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6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6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6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6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6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6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6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6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6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6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6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6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6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6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6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6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6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6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6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6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6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6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6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6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6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6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6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6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6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6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6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6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6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6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6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6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6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6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6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6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6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6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6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6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6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6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6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6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6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6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6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6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6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6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6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6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6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6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6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6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6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6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6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6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6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6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6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6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6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6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6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6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6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6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6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6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6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6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6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6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6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6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6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6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6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6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6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6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6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6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6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6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6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6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6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6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6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6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6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6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6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6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6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6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6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6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6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6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6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6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6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6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6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6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6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6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6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6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6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6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6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6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6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6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6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6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6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6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6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6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6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6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6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6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6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6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6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6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6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6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6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6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6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6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6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6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6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6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6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6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6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6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6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6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6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6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6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6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6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6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6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6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6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6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6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6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6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6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6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6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6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6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6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6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6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6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6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6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6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6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6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6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6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6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6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6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6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6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6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6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6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6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6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6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6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6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6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6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6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6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6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6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6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6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6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6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6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6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6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6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6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6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6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6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6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6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6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6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6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6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6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6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6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6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6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6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6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6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6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6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6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6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6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6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6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6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6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6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6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6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6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6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6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6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6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6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6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6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6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6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6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6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6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6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6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6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6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6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6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6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6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6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6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6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6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6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6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6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6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6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6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6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6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6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6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6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6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6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6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6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6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6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6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6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6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6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6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6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6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6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6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6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6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6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6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6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6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6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6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6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6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6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6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6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6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6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6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6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6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6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6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6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6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6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6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6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6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6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6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6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6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6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6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6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6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6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6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6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6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6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6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6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6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6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6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6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6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6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6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6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6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6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6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6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6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6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6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6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6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6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6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6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6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6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6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6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6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6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6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6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6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6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6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6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6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6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6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6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6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6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6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6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6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6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6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6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6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6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6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6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6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6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6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6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6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6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6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6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6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6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6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6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6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6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6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6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6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6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6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6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6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6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6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6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6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6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6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6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6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6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6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6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6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6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6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6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6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6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6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6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6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6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6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6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6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6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6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6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6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6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6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6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6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6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6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6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6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6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6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6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6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6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6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6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6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6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6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6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6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6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6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6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6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6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6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6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6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6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6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6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6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6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6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6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6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6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6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6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6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6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6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6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6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6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6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6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6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6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6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6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6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6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6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6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6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6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6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6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6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6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6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6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6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6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6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6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6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6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6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6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6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6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6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6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6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6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6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6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6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6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6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6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6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6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6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6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6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6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6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6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6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6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6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6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6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6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6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6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6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6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6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6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6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6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6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6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6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6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6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6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6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6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6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6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6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6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6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6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6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6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6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6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6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6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6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6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6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6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6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6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6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6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6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6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6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6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6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6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6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6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6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6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6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6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6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6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6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6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6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6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6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6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6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6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6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6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6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6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6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6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6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6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6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6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6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6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6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6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6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6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6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6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6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6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6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6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6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6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6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6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6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6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6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6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6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6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6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6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6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6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6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6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6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6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6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6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6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6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6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6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6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6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6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6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6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6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6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6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6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6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6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6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6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6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6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6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6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6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6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6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6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6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6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6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6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6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6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6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6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6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6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6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6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6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6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6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6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6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6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6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6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6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6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6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6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6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6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6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6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6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6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6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6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6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6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6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6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6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6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6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6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6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6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6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6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6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6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6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6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6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6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6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6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6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6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6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6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6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6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6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6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6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6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6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6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6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6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6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6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6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6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6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6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6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6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6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6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6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6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6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6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6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6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6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6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6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6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6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6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6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6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6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6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6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6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6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6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6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6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6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6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6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6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6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6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6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6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6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6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6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6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6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6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6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6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6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6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6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6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6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6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6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6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6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6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6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6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6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6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6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6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6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6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6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6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6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6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6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6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6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6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6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6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6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6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6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6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6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6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6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6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6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6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6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6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6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6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6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6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6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6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6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6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6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6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6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6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6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6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6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6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6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6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6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6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6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6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6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6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6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6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6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6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6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6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6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6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6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6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6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6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6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6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6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6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6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59">
    <mergeCell ref="A127:B127"/>
    <mergeCell ref="D127:G127"/>
    <mergeCell ref="A128:B128"/>
    <mergeCell ref="X42:X43"/>
    <mergeCell ref="Y44:Y45"/>
    <mergeCell ref="X44:X45"/>
    <mergeCell ref="X87:X88"/>
    <mergeCell ref="X89:X90"/>
    <mergeCell ref="A86:B86"/>
    <mergeCell ref="Q87:S87"/>
    <mergeCell ref="C86:G86"/>
    <mergeCell ref="D128:G128"/>
    <mergeCell ref="A125:B125"/>
    <mergeCell ref="D125:G125"/>
    <mergeCell ref="A126:B126"/>
    <mergeCell ref="D126:G126"/>
    <mergeCell ref="A123:B123"/>
    <mergeCell ref="A124:B124"/>
    <mergeCell ref="D124:G124"/>
    <mergeCell ref="A121:B121"/>
    <mergeCell ref="D121:G121"/>
    <mergeCell ref="A122:B122"/>
    <mergeCell ref="D122:G122"/>
    <mergeCell ref="D123:G123"/>
    <mergeCell ref="V132:V135"/>
    <mergeCell ref="D133:G136"/>
    <mergeCell ref="W136:Y136"/>
    <mergeCell ref="Q132:S132"/>
    <mergeCell ref="X134:X135"/>
    <mergeCell ref="A129:B129"/>
    <mergeCell ref="D129:G129"/>
    <mergeCell ref="A130:B130"/>
    <mergeCell ref="D130:G130"/>
    <mergeCell ref="X132:X133"/>
    <mergeCell ref="A131:B131"/>
    <mergeCell ref="C131:G131"/>
    <mergeCell ref="E132:G132"/>
    <mergeCell ref="Q133:S136"/>
    <mergeCell ref="V129:Y129"/>
    <mergeCell ref="V130:Y130"/>
    <mergeCell ref="V121:Y121"/>
    <mergeCell ref="V122:Y122"/>
    <mergeCell ref="V123:Y123"/>
    <mergeCell ref="V124:Y124"/>
    <mergeCell ref="A119:B119"/>
    <mergeCell ref="D119:G119"/>
    <mergeCell ref="A120:B120"/>
    <mergeCell ref="D120:G120"/>
    <mergeCell ref="A117:B117"/>
    <mergeCell ref="D117:G117"/>
    <mergeCell ref="A118:B118"/>
    <mergeCell ref="D118:G118"/>
    <mergeCell ref="V117:Y117"/>
    <mergeCell ref="V118:Y118"/>
    <mergeCell ref="V119:Y119"/>
    <mergeCell ref="V120:Y120"/>
    <mergeCell ref="A115:B115"/>
    <mergeCell ref="D115:G115"/>
    <mergeCell ref="A116:B116"/>
    <mergeCell ref="D116:G116"/>
    <mergeCell ref="A113:B113"/>
    <mergeCell ref="D113:G113"/>
    <mergeCell ref="A114:B114"/>
    <mergeCell ref="D114:G114"/>
    <mergeCell ref="V113:Y113"/>
    <mergeCell ref="V114:Y114"/>
    <mergeCell ref="V115:Y115"/>
    <mergeCell ref="V116:Y116"/>
    <mergeCell ref="A111:B111"/>
    <mergeCell ref="D111:G111"/>
    <mergeCell ref="A112:B112"/>
    <mergeCell ref="D112:G112"/>
    <mergeCell ref="A109:B109"/>
    <mergeCell ref="D109:G109"/>
    <mergeCell ref="A110:B110"/>
    <mergeCell ref="D110:G110"/>
    <mergeCell ref="V109:Y109"/>
    <mergeCell ref="V110:Y110"/>
    <mergeCell ref="V111:Y111"/>
    <mergeCell ref="V112:Y112"/>
    <mergeCell ref="A107:B107"/>
    <mergeCell ref="D107:G107"/>
    <mergeCell ref="A108:B108"/>
    <mergeCell ref="D108:G108"/>
    <mergeCell ref="A105:B105"/>
    <mergeCell ref="D105:G105"/>
    <mergeCell ref="A106:B106"/>
    <mergeCell ref="D106:G106"/>
    <mergeCell ref="V105:Y105"/>
    <mergeCell ref="V106:Y106"/>
    <mergeCell ref="V107:Y107"/>
    <mergeCell ref="V108:Y108"/>
    <mergeCell ref="A104:B104"/>
    <mergeCell ref="D104:G104"/>
    <mergeCell ref="V103:Y103"/>
    <mergeCell ref="V104:Y104"/>
    <mergeCell ref="E87:G87"/>
    <mergeCell ref="Q88:S91"/>
    <mergeCell ref="A102:C102"/>
    <mergeCell ref="D102:G102"/>
    <mergeCell ref="W102:Y102"/>
    <mergeCell ref="A103:B103"/>
    <mergeCell ref="D103:G103"/>
    <mergeCell ref="E95:Y95"/>
    <mergeCell ref="V97:Y100"/>
    <mergeCell ref="G98:T100"/>
    <mergeCell ref="A99:A100"/>
    <mergeCell ref="B99:F100"/>
    <mergeCell ref="E93:Y93"/>
    <mergeCell ref="H101:K101"/>
    <mergeCell ref="L101:O101"/>
    <mergeCell ref="P101:S101"/>
    <mergeCell ref="B101:G101"/>
    <mergeCell ref="T101:Y101"/>
    <mergeCell ref="A84:B84"/>
    <mergeCell ref="D84:G84"/>
    <mergeCell ref="A85:B85"/>
    <mergeCell ref="D85:G85"/>
    <mergeCell ref="A82:B82"/>
    <mergeCell ref="D82:G82"/>
    <mergeCell ref="A83:B83"/>
    <mergeCell ref="D83:G83"/>
    <mergeCell ref="V82:Y82"/>
    <mergeCell ref="V83:Y83"/>
    <mergeCell ref="V84:Y84"/>
    <mergeCell ref="V85:Y85"/>
    <mergeCell ref="A80:B80"/>
    <mergeCell ref="D80:G80"/>
    <mergeCell ref="A81:B81"/>
    <mergeCell ref="D81:G81"/>
    <mergeCell ref="A78:B78"/>
    <mergeCell ref="D78:G78"/>
    <mergeCell ref="A79:B79"/>
    <mergeCell ref="D79:G79"/>
    <mergeCell ref="V78:Y78"/>
    <mergeCell ref="V79:Y79"/>
    <mergeCell ref="V80:Y80"/>
    <mergeCell ref="V81:Y81"/>
    <mergeCell ref="A76:B76"/>
    <mergeCell ref="D76:G76"/>
    <mergeCell ref="A77:B77"/>
    <mergeCell ref="D77:G77"/>
    <mergeCell ref="A74:B74"/>
    <mergeCell ref="D74:G74"/>
    <mergeCell ref="A75:B75"/>
    <mergeCell ref="D75:G75"/>
    <mergeCell ref="V74:Y74"/>
    <mergeCell ref="V75:Y75"/>
    <mergeCell ref="V76:Y76"/>
    <mergeCell ref="V77:Y77"/>
    <mergeCell ref="A72:B72"/>
    <mergeCell ref="D72:G72"/>
    <mergeCell ref="A73:B73"/>
    <mergeCell ref="D73:G73"/>
    <mergeCell ref="A70:B70"/>
    <mergeCell ref="D70:G70"/>
    <mergeCell ref="A71:B71"/>
    <mergeCell ref="D71:G71"/>
    <mergeCell ref="V70:Y70"/>
    <mergeCell ref="V71:Y71"/>
    <mergeCell ref="V72:Y72"/>
    <mergeCell ref="V73:Y73"/>
    <mergeCell ref="A68:B68"/>
    <mergeCell ref="D68:G68"/>
    <mergeCell ref="A69:B69"/>
    <mergeCell ref="D69:G69"/>
    <mergeCell ref="A66:B66"/>
    <mergeCell ref="D66:G66"/>
    <mergeCell ref="A67:B67"/>
    <mergeCell ref="D67:G67"/>
    <mergeCell ref="V66:Y66"/>
    <mergeCell ref="V67:Y67"/>
    <mergeCell ref="V68:Y68"/>
    <mergeCell ref="V69:Y69"/>
    <mergeCell ref="A64:B64"/>
    <mergeCell ref="D64:G64"/>
    <mergeCell ref="A65:B65"/>
    <mergeCell ref="D65:G65"/>
    <mergeCell ref="A62:B62"/>
    <mergeCell ref="D62:G62"/>
    <mergeCell ref="A63:B63"/>
    <mergeCell ref="D63:G63"/>
    <mergeCell ref="V62:Y62"/>
    <mergeCell ref="V63:Y63"/>
    <mergeCell ref="V64:Y64"/>
    <mergeCell ref="V65:Y65"/>
    <mergeCell ref="A60:B60"/>
    <mergeCell ref="D60:G60"/>
    <mergeCell ref="A61:B61"/>
    <mergeCell ref="D61:G61"/>
    <mergeCell ref="A58:B58"/>
    <mergeCell ref="D58:G58"/>
    <mergeCell ref="A59:B59"/>
    <mergeCell ref="D59:G59"/>
    <mergeCell ref="V59:Y59"/>
    <mergeCell ref="V60:Y60"/>
    <mergeCell ref="V61:Y61"/>
    <mergeCell ref="C41:G41"/>
    <mergeCell ref="A57:C57"/>
    <mergeCell ref="D57:G57"/>
    <mergeCell ref="A47:Y47"/>
    <mergeCell ref="A51:F51"/>
    <mergeCell ref="G52:T52"/>
    <mergeCell ref="E48:Y48"/>
    <mergeCell ref="W57:Y57"/>
    <mergeCell ref="E50:Y50"/>
    <mergeCell ref="A56:G56"/>
    <mergeCell ref="H56:K56"/>
    <mergeCell ref="L56:O56"/>
    <mergeCell ref="P56:S56"/>
    <mergeCell ref="A27:B27"/>
    <mergeCell ref="D27:G27"/>
    <mergeCell ref="A24:B24"/>
    <mergeCell ref="D24:G24"/>
    <mergeCell ref="A25:B25"/>
    <mergeCell ref="D25:G25"/>
    <mergeCell ref="A30:B30"/>
    <mergeCell ref="D30:G30"/>
    <mergeCell ref="A31:B31"/>
    <mergeCell ref="D31:G31"/>
    <mergeCell ref="A28:B28"/>
    <mergeCell ref="D28:G28"/>
    <mergeCell ref="A29:B29"/>
    <mergeCell ref="D29:G29"/>
    <mergeCell ref="A22:B22"/>
    <mergeCell ref="D22:G22"/>
    <mergeCell ref="A23:B23"/>
    <mergeCell ref="D23:G23"/>
    <mergeCell ref="A20:B20"/>
    <mergeCell ref="D20:G20"/>
    <mergeCell ref="A21:B21"/>
    <mergeCell ref="D21:G21"/>
    <mergeCell ref="A26:B26"/>
    <mergeCell ref="D26:G26"/>
    <mergeCell ref="A18:B18"/>
    <mergeCell ref="D18:G18"/>
    <mergeCell ref="A19:B19"/>
    <mergeCell ref="D19:G19"/>
    <mergeCell ref="A16:B16"/>
    <mergeCell ref="D16:G16"/>
    <mergeCell ref="A17:B17"/>
    <mergeCell ref="D17:G17"/>
    <mergeCell ref="T11:Y11"/>
    <mergeCell ref="V13:Y13"/>
    <mergeCell ref="V14:Y14"/>
    <mergeCell ref="V15:Y15"/>
    <mergeCell ref="V16:Y16"/>
    <mergeCell ref="V17:Y17"/>
    <mergeCell ref="V18:Y18"/>
    <mergeCell ref="V19:Y19"/>
    <mergeCell ref="E1:Y1"/>
    <mergeCell ref="A14:B14"/>
    <mergeCell ref="D14:G14"/>
    <mergeCell ref="A15:B15"/>
    <mergeCell ref="D15:G15"/>
    <mergeCell ref="A12:C12"/>
    <mergeCell ref="D12:G12"/>
    <mergeCell ref="A13:B13"/>
    <mergeCell ref="D13:G13"/>
    <mergeCell ref="V12:Y12"/>
    <mergeCell ref="G7:T7"/>
    <mergeCell ref="B11:G11"/>
    <mergeCell ref="H11:K11"/>
    <mergeCell ref="A2:Y2"/>
    <mergeCell ref="A6:F6"/>
    <mergeCell ref="L11:O11"/>
    <mergeCell ref="P11:S11"/>
    <mergeCell ref="C1:D1"/>
    <mergeCell ref="V6:Y6"/>
    <mergeCell ref="E5:X5"/>
    <mergeCell ref="E3:Y3"/>
    <mergeCell ref="A9:A10"/>
    <mergeCell ref="B9:F10"/>
    <mergeCell ref="G8:T10"/>
    <mergeCell ref="V20:Y20"/>
    <mergeCell ref="V21:Y21"/>
    <mergeCell ref="V22:Y22"/>
    <mergeCell ref="V23:Y23"/>
    <mergeCell ref="V24:Y24"/>
    <mergeCell ref="V25:Y25"/>
    <mergeCell ref="V26:Y26"/>
    <mergeCell ref="V27:Y27"/>
    <mergeCell ref="V28:Y28"/>
    <mergeCell ref="V125:Y125"/>
    <mergeCell ref="V126:Y126"/>
    <mergeCell ref="V127:Y127"/>
    <mergeCell ref="V128:Y128"/>
    <mergeCell ref="V33:Y33"/>
    <mergeCell ref="V34:Y34"/>
    <mergeCell ref="V35:Y35"/>
    <mergeCell ref="V36:Y36"/>
    <mergeCell ref="V37:Y37"/>
    <mergeCell ref="V38:Y38"/>
    <mergeCell ref="V39:Y39"/>
    <mergeCell ref="V40:Y40"/>
    <mergeCell ref="V58:Y58"/>
    <mergeCell ref="A92:Y92"/>
    <mergeCell ref="A96:F96"/>
    <mergeCell ref="G97:T97"/>
    <mergeCell ref="T87:U87"/>
    <mergeCell ref="V87:V90"/>
    <mergeCell ref="D88:G91"/>
    <mergeCell ref="A34:B34"/>
    <mergeCell ref="D34:G34"/>
    <mergeCell ref="A35:B35"/>
    <mergeCell ref="D35:G35"/>
    <mergeCell ref="A33:B33"/>
    <mergeCell ref="V29:Y29"/>
    <mergeCell ref="V30:Y30"/>
    <mergeCell ref="V31:Y31"/>
    <mergeCell ref="V32:Y32"/>
    <mergeCell ref="V42:V44"/>
    <mergeCell ref="A32:B32"/>
    <mergeCell ref="D32:G32"/>
    <mergeCell ref="D33:G33"/>
    <mergeCell ref="A38:B38"/>
    <mergeCell ref="D38:G38"/>
    <mergeCell ref="A39:B39"/>
    <mergeCell ref="D39:G39"/>
    <mergeCell ref="A36:B36"/>
    <mergeCell ref="D36:G36"/>
    <mergeCell ref="A37:B37"/>
    <mergeCell ref="D37:G37"/>
    <mergeCell ref="Q42:S42"/>
    <mergeCell ref="D42:G42"/>
    <mergeCell ref="A40:B40"/>
    <mergeCell ref="D40:G40"/>
    <mergeCell ref="T42:U42"/>
    <mergeCell ref="D43:G46"/>
    <mergeCell ref="T43:U46"/>
    <mergeCell ref="A41:B41"/>
    <mergeCell ref="V7:Y10"/>
    <mergeCell ref="D7:F8"/>
    <mergeCell ref="D52:F53"/>
    <mergeCell ref="V52:Y55"/>
    <mergeCell ref="G53:T55"/>
    <mergeCell ref="A54:A55"/>
    <mergeCell ref="B54:F55"/>
    <mergeCell ref="D97:F98"/>
    <mergeCell ref="D142:F143"/>
    <mergeCell ref="G142:T142"/>
    <mergeCell ref="V142:Y145"/>
    <mergeCell ref="G143:T145"/>
    <mergeCell ref="A144:A145"/>
    <mergeCell ref="B144:F145"/>
    <mergeCell ref="A137:Y137"/>
    <mergeCell ref="E138:Y138"/>
    <mergeCell ref="E140:X140"/>
    <mergeCell ref="A141:F141"/>
    <mergeCell ref="V141:Y141"/>
    <mergeCell ref="T88:U91"/>
    <mergeCell ref="W91:Y91"/>
    <mergeCell ref="H42:P46"/>
    <mergeCell ref="H87:P91"/>
    <mergeCell ref="H132:P136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</mergeCells>
  <dataValidations count="1">
    <dataValidation type="list" allowBlank="1" showInputMessage="1" sqref="A103:A131 A58:A86 A13:A41 A148:A176" xr:uid="{1A22E6BD-1A72-4973-8E25-32D1F1A9DA0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39B0CCD-9C9D-47B0-8AF2-082F211232B9}">
          <x14:formula1>
            <xm:f>List!$E$1:$E$7</xm:f>
          </x14:formula1>
          <xm:sqref>B95 B5 B50 B140</xm:sqref>
        </x14:dataValidation>
        <x14:dataValidation type="list" allowBlank="1" showInputMessage="1" showErrorMessage="1" xr:uid="{CE81AD38-333F-4F0C-A021-855EA8D731A3}">
          <x14:formula1>
            <xm:f>List!$C$1:$C$3</xm:f>
          </x14:formula1>
          <xm:sqref>B4 B49 B94 B139</xm:sqref>
        </x14:dataValidation>
        <x14:dataValidation type="list" allowBlank="1" showInputMessage="1" showErrorMessage="1" xr:uid="{FAF54A8F-0F09-4730-9720-003B62EA95D7}">
          <x14:formula1>
            <xm:f>List!$B$1:$B$3</xm:f>
          </x14:formula1>
          <xm:sqref>B7 B52 B97 B142</xm:sqref>
        </x14:dataValidation>
        <x14:dataValidation type="list" allowBlank="1" showInputMessage="1" showErrorMessage="1" xr:uid="{DD069074-B0BB-4A84-B7E1-34BF3FCE836B}">
          <x14:formula1>
            <xm:f>List!$D$1:$D$3</xm:f>
          </x14:formula1>
          <xm:sqref>B8 B53 B98 B143</xm:sqref>
        </x14:dataValidation>
        <x14:dataValidation type="list" allowBlank="1" showInputMessage="1" showErrorMessage="1" xr:uid="{63787E0D-7D3C-48E7-AB68-C67BC734354E}">
          <x14:formula1>
            <xm:f>List!$A$1:$A$2</xm:f>
          </x14:formula1>
          <xm:sqref>G52:T52 G7:T7 G97:T97 G142:T142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AD4E4-0A66-4070-A930-5E8F8D85CDCC}">
  <sheetPr codeName="Sheet12"/>
  <dimension ref="A1:AH2800"/>
  <sheetViews>
    <sheetView topLeftCell="B112" zoomScaleNormal="100" zoomScalePageLayoutView="35" workbookViewId="0">
      <selection activeCell="Q133" sqref="Q133:S136"/>
    </sheetView>
  </sheetViews>
  <sheetFormatPr defaultColWidth="9.140625"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710937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28515625" style="20" customWidth="1"/>
    <col min="20" max="20" width="1" style="20" hidden="1" customWidth="1"/>
    <col min="21" max="21" width="3.57031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6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91" t="s">
        <v>2886</v>
      </c>
      <c r="B1" s="177">
        <f>Hydrological!B1</f>
        <v>6</v>
      </c>
      <c r="C1" s="318" t="s">
        <v>2879</v>
      </c>
      <c r="D1" s="319"/>
      <c r="E1" s="307" t="str">
        <f>Hydrological!G1</f>
        <v>Bull Creek North</v>
      </c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8"/>
    </row>
    <row r="2" spans="1:34" ht="75" customHeight="1" thickTop="1" thickBot="1">
      <c r="A2" s="409" t="s">
        <v>2880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AB2" s="20">
        <f ca="1">CELL("contents")</f>
        <v>0</v>
      </c>
      <c r="AE2" s="20">
        <f ca="1">COUNTIF(AF4:AF2800,"?*")</f>
        <v>0</v>
      </c>
    </row>
    <row r="3" spans="1:34" ht="19.5" customHeight="1" thickTop="1" thickBot="1">
      <c r="A3" s="165" t="s">
        <v>5</v>
      </c>
      <c r="B3" s="274">
        <v>42541</v>
      </c>
      <c r="C3" s="260"/>
      <c r="D3" s="260" t="s">
        <v>2847</v>
      </c>
      <c r="E3" s="514" t="s">
        <v>3017</v>
      </c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515"/>
      <c r="Q3" s="515"/>
      <c r="R3" s="515"/>
      <c r="S3" s="515"/>
      <c r="T3" s="515"/>
      <c r="U3" s="515"/>
      <c r="V3" s="515"/>
      <c r="W3" s="515"/>
      <c r="X3" s="515"/>
      <c r="Y3" s="516"/>
    </row>
    <row r="4" spans="1:34" ht="16.5" thickTop="1" thickBot="1">
      <c r="A4" s="166" t="s">
        <v>2895</v>
      </c>
      <c r="B4" s="125">
        <v>2</v>
      </c>
      <c r="C4" s="11" t="s">
        <v>15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7"/>
      <c r="X4" s="7"/>
      <c r="Y4" s="6"/>
      <c r="AC4" s="36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65" t="s">
        <v>2873</v>
      </c>
      <c r="B5" s="126" t="s">
        <v>11</v>
      </c>
      <c r="C5" s="11" t="s">
        <v>15</v>
      </c>
      <c r="D5" s="217" t="s">
        <v>2869</v>
      </c>
      <c r="E5" s="517" t="s">
        <v>3031</v>
      </c>
      <c r="F5" s="518"/>
      <c r="G5" s="518"/>
      <c r="H5" s="518"/>
      <c r="I5" s="518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41"/>
      <c r="AC5" s="36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9" t="s">
        <v>33</v>
      </c>
      <c r="B6" s="520"/>
      <c r="C6" s="521"/>
      <c r="D6" s="521"/>
      <c r="E6" s="521"/>
      <c r="F6" s="522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23" t="s">
        <v>2885</v>
      </c>
      <c r="W6" s="524"/>
      <c r="X6" s="524"/>
      <c r="Y6" s="525"/>
      <c r="AB6" s="36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07" t="s">
        <v>35</v>
      </c>
      <c r="B7" s="206" t="s">
        <v>40</v>
      </c>
      <c r="C7" s="11" t="s">
        <v>15</v>
      </c>
      <c r="D7" s="498"/>
      <c r="E7" s="499"/>
      <c r="F7" s="500"/>
      <c r="G7" s="512" t="s">
        <v>31</v>
      </c>
      <c r="H7" s="512"/>
      <c r="I7" s="512"/>
      <c r="J7" s="512"/>
      <c r="K7" s="512"/>
      <c r="L7" s="512"/>
      <c r="M7" s="512"/>
      <c r="N7" s="512"/>
      <c r="O7" s="512"/>
      <c r="P7" s="512"/>
      <c r="Q7" s="512"/>
      <c r="R7" s="512"/>
      <c r="S7" s="512"/>
      <c r="T7" s="512"/>
      <c r="U7" s="249"/>
      <c r="V7" s="489"/>
      <c r="W7" s="490"/>
      <c r="X7" s="490"/>
      <c r="Y7" s="491"/>
      <c r="AC7" s="36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08" t="s">
        <v>2889</v>
      </c>
      <c r="B8" s="206" t="s">
        <v>37</v>
      </c>
      <c r="C8" s="11" t="s">
        <v>15</v>
      </c>
      <c r="D8" s="501"/>
      <c r="E8" s="502"/>
      <c r="F8" s="503"/>
      <c r="G8" s="504"/>
      <c r="H8" s="505"/>
      <c r="I8" s="505"/>
      <c r="J8" s="505"/>
      <c r="K8" s="505"/>
      <c r="L8" s="505"/>
      <c r="M8" s="505"/>
      <c r="N8" s="505"/>
      <c r="O8" s="505"/>
      <c r="P8" s="505"/>
      <c r="Q8" s="505"/>
      <c r="R8" s="505"/>
      <c r="S8" s="505"/>
      <c r="T8" s="505"/>
      <c r="U8" s="249"/>
      <c r="V8" s="492"/>
      <c r="W8" s="493"/>
      <c r="X8" s="493"/>
      <c r="Y8" s="494"/>
      <c r="AC8" s="36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508" t="s">
        <v>2871</v>
      </c>
      <c r="B9" s="493" t="s">
        <v>3032</v>
      </c>
      <c r="C9" s="493"/>
      <c r="D9" s="493"/>
      <c r="E9" s="493"/>
      <c r="F9" s="493"/>
      <c r="G9" s="506"/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249"/>
      <c r="V9" s="492"/>
      <c r="W9" s="493"/>
      <c r="X9" s="493"/>
      <c r="Y9" s="494"/>
      <c r="AC9" s="36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509"/>
      <c r="B10" s="496"/>
      <c r="C10" s="496"/>
      <c r="D10" s="496"/>
      <c r="E10" s="496"/>
      <c r="F10" s="496"/>
      <c r="G10" s="506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249"/>
      <c r="V10" s="495"/>
      <c r="W10" s="496"/>
      <c r="X10" s="496"/>
      <c r="Y10" s="497"/>
      <c r="AC10" s="36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05" t="s">
        <v>2843</v>
      </c>
      <c r="B11" s="475"/>
      <c r="C11" s="475"/>
      <c r="D11" s="475"/>
      <c r="E11" s="475"/>
      <c r="F11" s="475"/>
      <c r="G11" s="475"/>
      <c r="H11" s="476" t="s">
        <v>2890</v>
      </c>
      <c r="I11" s="477"/>
      <c r="J11" s="477"/>
      <c r="K11" s="478"/>
      <c r="L11" s="476" t="s">
        <v>2891</v>
      </c>
      <c r="M11" s="477"/>
      <c r="N11" s="477"/>
      <c r="O11" s="478"/>
      <c r="P11" s="476" t="s">
        <v>2914</v>
      </c>
      <c r="Q11" s="477"/>
      <c r="R11" s="477"/>
      <c r="S11" s="478"/>
      <c r="T11" s="479"/>
      <c r="U11" s="480"/>
      <c r="V11" s="480"/>
      <c r="W11" s="480"/>
      <c r="X11" s="480"/>
      <c r="Y11" s="481"/>
    </row>
    <row r="12" spans="1:34" ht="21" customHeight="1" thickBot="1">
      <c r="A12" s="482" t="s">
        <v>2872</v>
      </c>
      <c r="B12" s="483"/>
      <c r="C12" s="484"/>
      <c r="D12" s="485" t="s">
        <v>2844</v>
      </c>
      <c r="E12" s="475"/>
      <c r="F12" s="475"/>
      <c r="G12" s="475"/>
      <c r="H12" s="106" t="s">
        <v>2852</v>
      </c>
      <c r="I12" s="182" t="s">
        <v>2850</v>
      </c>
      <c r="J12" s="182" t="s">
        <v>2849</v>
      </c>
      <c r="K12" s="107" t="s">
        <v>2851</v>
      </c>
      <c r="L12" s="106" t="s">
        <v>2852</v>
      </c>
      <c r="M12" s="182" t="s">
        <v>2850</v>
      </c>
      <c r="N12" s="182" t="s">
        <v>2849</v>
      </c>
      <c r="O12" s="107" t="s">
        <v>2851</v>
      </c>
      <c r="P12" s="106" t="s">
        <v>2852</v>
      </c>
      <c r="Q12" s="182" t="s">
        <v>2850</v>
      </c>
      <c r="R12" s="182" t="s">
        <v>2849</v>
      </c>
      <c r="S12" s="107" t="s">
        <v>2851</v>
      </c>
      <c r="T12" s="104"/>
      <c r="U12" s="74"/>
      <c r="V12" s="486" t="s">
        <v>2845</v>
      </c>
      <c r="W12" s="487"/>
      <c r="X12" s="487"/>
      <c r="Y12" s="488"/>
      <c r="AC12" s="36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6"/>
    </row>
    <row r="13" spans="1:34" ht="16.5" customHeight="1" thickTop="1" thickBot="1">
      <c r="A13" s="468" t="s">
        <v>2371</v>
      </c>
      <c r="B13" s="469"/>
      <c r="C13" s="11" t="s">
        <v>15</v>
      </c>
      <c r="D13" s="400" t="str">
        <f>(IFERROR(VLOOKUP(A13,List!$H$1:$I$2804,2,FALSE),""))</f>
        <v>UL</v>
      </c>
      <c r="E13" s="400"/>
      <c r="F13" s="400"/>
      <c r="G13" s="362"/>
      <c r="H13" s="108"/>
      <c r="I13" s="174"/>
      <c r="J13" s="174"/>
      <c r="K13" s="109"/>
      <c r="L13" s="108"/>
      <c r="M13" s="174"/>
      <c r="N13" s="174"/>
      <c r="O13" s="109"/>
      <c r="P13" s="108"/>
      <c r="Q13" s="174"/>
      <c r="R13" s="174"/>
      <c r="S13" s="109">
        <v>40</v>
      </c>
      <c r="T13" s="175"/>
      <c r="U13" s="176"/>
      <c r="V13" s="569" t="s">
        <v>3033</v>
      </c>
      <c r="W13" s="569"/>
      <c r="X13" s="569"/>
      <c r="Y13" s="570"/>
      <c r="AC13" s="36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68" t="s">
        <v>1284</v>
      </c>
      <c r="B14" s="469"/>
      <c r="C14" s="11" t="s">
        <v>15</v>
      </c>
      <c r="D14" s="400" t="str">
        <f>(IFERROR(VLOOKUP(A14,List!$H$1:$I$2804,2,FALSE),""))</f>
        <v>OBL</v>
      </c>
      <c r="E14" s="400"/>
      <c r="F14" s="400"/>
      <c r="G14" s="362"/>
      <c r="H14" s="108"/>
      <c r="I14" s="174"/>
      <c r="J14" s="174"/>
      <c r="K14" s="109"/>
      <c r="L14" s="108"/>
      <c r="M14" s="174"/>
      <c r="N14" s="174"/>
      <c r="O14" s="109"/>
      <c r="P14" s="108">
        <v>20</v>
      </c>
      <c r="Q14" s="174"/>
      <c r="R14" s="174"/>
      <c r="S14" s="109"/>
      <c r="T14" s="175"/>
      <c r="U14" s="176"/>
      <c r="V14" s="368"/>
      <c r="W14" s="368"/>
      <c r="X14" s="368"/>
      <c r="Y14" s="470"/>
      <c r="AC14" s="36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68" t="s">
        <v>1425</v>
      </c>
      <c r="B15" s="469"/>
      <c r="C15" s="11" t="s">
        <v>15</v>
      </c>
      <c r="D15" s="400" t="str">
        <f>(IFERROR(VLOOKUP(A15,List!$H$1:$I$2804,2,FALSE),""))</f>
        <v>FAC</v>
      </c>
      <c r="E15" s="400"/>
      <c r="F15" s="400"/>
      <c r="G15" s="362"/>
      <c r="H15" s="108"/>
      <c r="I15" s="174"/>
      <c r="J15" s="174"/>
      <c r="K15" s="109"/>
      <c r="L15" s="108"/>
      <c r="M15" s="174"/>
      <c r="N15" s="174"/>
      <c r="O15" s="109"/>
      <c r="P15" s="108"/>
      <c r="Q15" s="174"/>
      <c r="R15" s="174">
        <v>20</v>
      </c>
      <c r="S15" s="109"/>
      <c r="T15" s="175"/>
      <c r="U15" s="176"/>
      <c r="V15" s="368"/>
      <c r="W15" s="368"/>
      <c r="X15" s="368"/>
      <c r="Y15" s="470"/>
      <c r="AC15" s="36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68" t="s">
        <v>2810</v>
      </c>
      <c r="B16" s="469"/>
      <c r="C16" s="11" t="s">
        <v>15</v>
      </c>
      <c r="D16" s="400" t="str">
        <f>(IFERROR(VLOOKUP(A16,List!$H$1:$I$2804,2,FALSE),""))</f>
        <v>FACW</v>
      </c>
      <c r="E16" s="400"/>
      <c r="F16" s="400"/>
      <c r="G16" s="362"/>
      <c r="H16" s="108"/>
      <c r="I16" s="174"/>
      <c r="J16" s="174"/>
      <c r="K16" s="109"/>
      <c r="L16" s="108"/>
      <c r="M16" s="174"/>
      <c r="N16" s="174"/>
      <c r="O16" s="109"/>
      <c r="P16" s="108"/>
      <c r="Q16" s="174">
        <v>7</v>
      </c>
      <c r="R16" s="174"/>
      <c r="S16" s="109"/>
      <c r="T16" s="175"/>
      <c r="U16" s="176"/>
      <c r="V16" s="368"/>
      <c r="W16" s="368"/>
      <c r="X16" s="368"/>
      <c r="Y16" s="470"/>
      <c r="AC16" s="36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68" t="s">
        <v>1428</v>
      </c>
      <c r="B17" s="469"/>
      <c r="C17" s="11" t="s">
        <v>15</v>
      </c>
      <c r="D17" s="400" t="str">
        <f>(IFERROR(VLOOKUP(A17,List!$H$1:$I$2804,2,FALSE),""))</f>
        <v>OBL</v>
      </c>
      <c r="E17" s="400"/>
      <c r="F17" s="400"/>
      <c r="G17" s="362"/>
      <c r="H17" s="108"/>
      <c r="I17" s="174"/>
      <c r="J17" s="174"/>
      <c r="K17" s="109"/>
      <c r="L17" s="108"/>
      <c r="M17" s="174"/>
      <c r="N17" s="174"/>
      <c r="O17" s="109"/>
      <c r="P17" s="108">
        <v>7</v>
      </c>
      <c r="Q17" s="174"/>
      <c r="R17" s="174"/>
      <c r="S17" s="109"/>
      <c r="T17" s="175"/>
      <c r="U17" s="176"/>
      <c r="V17" s="368"/>
      <c r="W17" s="368"/>
      <c r="X17" s="368"/>
      <c r="Y17" s="470"/>
      <c r="AC17" s="36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68" t="s">
        <v>166</v>
      </c>
      <c r="B18" s="469"/>
      <c r="C18" s="11" t="s">
        <v>15</v>
      </c>
      <c r="D18" s="400" t="str">
        <f>(IFERROR(VLOOKUP(A18,List!$H$1:$I$2804,2,FALSE),""))</f>
        <v>FAC</v>
      </c>
      <c r="E18" s="400"/>
      <c r="F18" s="400"/>
      <c r="G18" s="362"/>
      <c r="H18" s="108"/>
      <c r="I18" s="174"/>
      <c r="J18" s="174"/>
      <c r="K18" s="109"/>
      <c r="L18" s="108"/>
      <c r="M18" s="174"/>
      <c r="N18" s="174"/>
      <c r="O18" s="109"/>
      <c r="P18" s="108"/>
      <c r="Q18" s="174"/>
      <c r="R18" s="174">
        <v>5</v>
      </c>
      <c r="S18" s="109"/>
      <c r="T18" s="175"/>
      <c r="U18" s="176"/>
      <c r="V18" s="368"/>
      <c r="W18" s="368"/>
      <c r="X18" s="368"/>
      <c r="Y18" s="470"/>
      <c r="AC18" s="36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68" t="s">
        <v>2801</v>
      </c>
      <c r="B19" s="469"/>
      <c r="C19" s="11" t="s">
        <v>15</v>
      </c>
      <c r="D19" s="400" t="str">
        <f>(IFERROR(VLOOKUP(A19,List!$H$1:$I$2804,2,FALSE),""))</f>
        <v>FACW</v>
      </c>
      <c r="E19" s="400"/>
      <c r="F19" s="400"/>
      <c r="G19" s="362"/>
      <c r="H19" s="108"/>
      <c r="I19" s="174"/>
      <c r="J19" s="174"/>
      <c r="K19" s="109"/>
      <c r="L19" s="108"/>
      <c r="M19" s="174"/>
      <c r="N19" s="174"/>
      <c r="O19" s="109"/>
      <c r="P19" s="108"/>
      <c r="Q19" s="174">
        <v>3</v>
      </c>
      <c r="R19" s="174"/>
      <c r="S19" s="109"/>
      <c r="T19" s="175"/>
      <c r="U19" s="176"/>
      <c r="V19" s="368"/>
      <c r="W19" s="368"/>
      <c r="X19" s="368"/>
      <c r="Y19" s="470"/>
      <c r="AC19" s="36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68" t="s">
        <v>891</v>
      </c>
      <c r="B20" s="469"/>
      <c r="C20" s="11" t="s">
        <v>15</v>
      </c>
      <c r="D20" s="400" t="str">
        <f>(IFERROR(VLOOKUP(A20,List!$H$1:$I$2804,2,FALSE),""))</f>
        <v>FACW</v>
      </c>
      <c r="E20" s="400"/>
      <c r="F20" s="400"/>
      <c r="G20" s="362"/>
      <c r="H20" s="108"/>
      <c r="I20" s="174"/>
      <c r="J20" s="174"/>
      <c r="K20" s="109"/>
      <c r="L20" s="108"/>
      <c r="M20" s="174"/>
      <c r="N20" s="174"/>
      <c r="O20" s="109"/>
      <c r="P20" s="108"/>
      <c r="Q20" s="174">
        <v>5</v>
      </c>
      <c r="R20" s="174"/>
      <c r="S20" s="109"/>
      <c r="T20" s="175"/>
      <c r="U20" s="176"/>
      <c r="V20" s="368"/>
      <c r="W20" s="368"/>
      <c r="X20" s="368"/>
      <c r="Y20" s="470"/>
      <c r="AC20" s="36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68" t="s">
        <v>2140</v>
      </c>
      <c r="B21" s="469"/>
      <c r="C21" s="11" t="s">
        <v>15</v>
      </c>
      <c r="D21" s="400" t="str">
        <f>(IFERROR(VLOOKUP(A21,List!$H$1:$I$2804,2,FALSE),""))</f>
        <v>FACW</v>
      </c>
      <c r="E21" s="400"/>
      <c r="F21" s="400"/>
      <c r="G21" s="362"/>
      <c r="H21" s="108"/>
      <c r="I21" s="174"/>
      <c r="J21" s="174"/>
      <c r="K21" s="109"/>
      <c r="L21" s="108"/>
      <c r="M21" s="174"/>
      <c r="N21" s="174"/>
      <c r="O21" s="109"/>
      <c r="P21" s="108"/>
      <c r="Q21" s="174">
        <v>1</v>
      </c>
      <c r="R21" s="174"/>
      <c r="S21" s="109"/>
      <c r="T21" s="175"/>
      <c r="U21" s="176"/>
      <c r="V21" s="368"/>
      <c r="W21" s="368"/>
      <c r="X21" s="368"/>
      <c r="Y21" s="470"/>
      <c r="AC21" s="36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68" t="s">
        <v>2067</v>
      </c>
      <c r="B22" s="469"/>
      <c r="C22" s="11" t="s">
        <v>15</v>
      </c>
      <c r="D22" s="400" t="str">
        <f>(IFERROR(VLOOKUP(A22,List!$H$1:$I$2804,2,FALSE),""))</f>
        <v>OBL</v>
      </c>
      <c r="E22" s="400"/>
      <c r="F22" s="400"/>
      <c r="G22" s="362"/>
      <c r="H22" s="108"/>
      <c r="I22" s="174"/>
      <c r="J22" s="174"/>
      <c r="K22" s="109"/>
      <c r="L22" s="108"/>
      <c r="M22" s="174"/>
      <c r="N22" s="174"/>
      <c r="O22" s="109"/>
      <c r="P22" s="108">
        <v>1</v>
      </c>
      <c r="Q22" s="174"/>
      <c r="R22" s="174"/>
      <c r="S22" s="109"/>
      <c r="T22" s="175"/>
      <c r="U22" s="176"/>
      <c r="V22" s="368"/>
      <c r="W22" s="368"/>
      <c r="X22" s="368"/>
      <c r="Y22" s="470"/>
      <c r="AC22" s="20"/>
    </row>
    <row r="23" spans="1:32" ht="16.5" customHeight="1" thickTop="1" thickBot="1">
      <c r="A23" s="468" t="s">
        <v>840</v>
      </c>
      <c r="B23" s="469"/>
      <c r="C23" s="11" t="s">
        <v>15</v>
      </c>
      <c r="D23" s="400" t="str">
        <f>(IFERROR(VLOOKUP(A23,List!$H$1:$I$2804,2,FALSE),""))</f>
        <v>FACW</v>
      </c>
      <c r="E23" s="400"/>
      <c r="F23" s="400"/>
      <c r="G23" s="362"/>
      <c r="H23" s="108"/>
      <c r="I23" s="174"/>
      <c r="J23" s="174"/>
      <c r="K23" s="109"/>
      <c r="L23" s="108"/>
      <c r="M23" s="174"/>
      <c r="N23" s="174"/>
      <c r="O23" s="109"/>
      <c r="P23" s="108"/>
      <c r="Q23" s="174">
        <v>1</v>
      </c>
      <c r="R23" s="174"/>
      <c r="S23" s="109"/>
      <c r="T23" s="175"/>
      <c r="U23" s="176"/>
      <c r="V23" s="368"/>
      <c r="W23" s="368"/>
      <c r="X23" s="368"/>
      <c r="Y23" s="470"/>
      <c r="AC23" s="36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68" t="s">
        <v>156</v>
      </c>
      <c r="B24" s="469"/>
      <c r="C24" s="11" t="s">
        <v>15</v>
      </c>
      <c r="D24" s="400" t="str">
        <f>(IFERROR(VLOOKUP(A24,List!$H$1:$I$2804,2,FALSE),""))</f>
        <v>FACW</v>
      </c>
      <c r="E24" s="400"/>
      <c r="F24" s="400"/>
      <c r="G24" s="362"/>
      <c r="H24" s="108"/>
      <c r="I24" s="174"/>
      <c r="J24" s="174"/>
      <c r="K24" s="109"/>
      <c r="L24" s="108"/>
      <c r="M24" s="174"/>
      <c r="N24" s="174"/>
      <c r="O24" s="109"/>
      <c r="P24" s="108"/>
      <c r="Q24" s="174">
        <v>1</v>
      </c>
      <c r="R24" s="174"/>
      <c r="S24" s="109"/>
      <c r="T24" s="175"/>
      <c r="U24" s="176"/>
      <c r="V24" s="368"/>
      <c r="W24" s="368"/>
      <c r="X24" s="368"/>
      <c r="Y24" s="470"/>
      <c r="AC24" s="36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68" t="s">
        <v>2262</v>
      </c>
      <c r="B25" s="469"/>
      <c r="C25" s="11" t="s">
        <v>15</v>
      </c>
      <c r="D25" s="400" t="str">
        <f>(IFERROR(VLOOKUP(A25,List!$H$1:$I$2804,2,FALSE),""))</f>
        <v>FACW</v>
      </c>
      <c r="E25" s="400"/>
      <c r="F25" s="400"/>
      <c r="G25" s="362"/>
      <c r="H25" s="108"/>
      <c r="I25" s="174"/>
      <c r="J25" s="174"/>
      <c r="K25" s="109"/>
      <c r="L25" s="108"/>
      <c r="M25" s="174"/>
      <c r="N25" s="174"/>
      <c r="O25" s="109"/>
      <c r="P25" s="108"/>
      <c r="Q25" s="174">
        <v>1</v>
      </c>
      <c r="R25" s="174"/>
      <c r="S25" s="109"/>
      <c r="T25" s="175"/>
      <c r="U25" s="176"/>
      <c r="V25" s="368"/>
      <c r="W25" s="368"/>
      <c r="X25" s="368"/>
      <c r="Y25" s="470"/>
      <c r="AC25" s="36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68" t="s">
        <v>1388</v>
      </c>
      <c r="B26" s="469"/>
      <c r="C26" s="11" t="s">
        <v>15</v>
      </c>
      <c r="D26" s="400" t="str">
        <f>(IFERROR(VLOOKUP(A26,List!$H$1:$I$2804,2,FALSE),""))</f>
        <v>FACW</v>
      </c>
      <c r="E26" s="400"/>
      <c r="F26" s="400"/>
      <c r="G26" s="362"/>
      <c r="H26" s="108"/>
      <c r="I26" s="174"/>
      <c r="J26" s="174"/>
      <c r="K26" s="109"/>
      <c r="L26" s="108"/>
      <c r="M26" s="174"/>
      <c r="N26" s="174"/>
      <c r="O26" s="109"/>
      <c r="P26" s="108"/>
      <c r="Q26" s="174">
        <v>1</v>
      </c>
      <c r="R26" s="174"/>
      <c r="S26" s="109"/>
      <c r="T26" s="175"/>
      <c r="U26" s="176"/>
      <c r="V26" s="368"/>
      <c r="W26" s="368"/>
      <c r="X26" s="368"/>
      <c r="Y26" s="470"/>
      <c r="AC26" s="36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68" t="s">
        <v>884</v>
      </c>
      <c r="B27" s="469"/>
      <c r="C27" s="11" t="s">
        <v>15</v>
      </c>
      <c r="D27" s="400" t="str">
        <f>(IFERROR(VLOOKUP(A27,List!$H$1:$I$2804,2,FALSE),""))</f>
        <v>FAC</v>
      </c>
      <c r="E27" s="400"/>
      <c r="F27" s="400"/>
      <c r="G27" s="362"/>
      <c r="H27" s="108"/>
      <c r="I27" s="174"/>
      <c r="J27" s="174"/>
      <c r="K27" s="109"/>
      <c r="L27" s="108"/>
      <c r="M27" s="174"/>
      <c r="N27" s="174"/>
      <c r="O27" s="109"/>
      <c r="P27" s="108"/>
      <c r="Q27" s="174"/>
      <c r="R27" s="174">
        <v>1</v>
      </c>
      <c r="S27" s="109"/>
      <c r="T27" s="175"/>
      <c r="U27" s="176"/>
      <c r="V27" s="368"/>
      <c r="W27" s="368"/>
      <c r="X27" s="368"/>
      <c r="Y27" s="470"/>
      <c r="AC27" s="36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68"/>
      <c r="B28" s="469"/>
      <c r="C28" s="11" t="s">
        <v>15</v>
      </c>
      <c r="D28" s="400" t="str">
        <f>(IFERROR(VLOOKUP(A28,List!$H$1:$I$2804,2,FALSE),""))</f>
        <v/>
      </c>
      <c r="E28" s="400"/>
      <c r="F28" s="400"/>
      <c r="G28" s="362"/>
      <c r="H28" s="108"/>
      <c r="I28" s="174"/>
      <c r="J28" s="174"/>
      <c r="K28" s="109"/>
      <c r="L28" s="108"/>
      <c r="M28" s="174"/>
      <c r="N28" s="174"/>
      <c r="O28" s="109"/>
      <c r="P28" s="108"/>
      <c r="Q28" s="174"/>
      <c r="R28" s="174"/>
      <c r="S28" s="109"/>
      <c r="T28" s="175"/>
      <c r="U28" s="176"/>
      <c r="V28" s="368"/>
      <c r="W28" s="368"/>
      <c r="X28" s="368"/>
      <c r="Y28" s="470"/>
      <c r="AC28" s="36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68"/>
      <c r="B29" s="469"/>
      <c r="C29" s="11" t="s">
        <v>15</v>
      </c>
      <c r="D29" s="400" t="str">
        <f>(IFERROR(VLOOKUP(A29,List!$H$1:$I$2804,2,FALSE),""))</f>
        <v/>
      </c>
      <c r="E29" s="400"/>
      <c r="F29" s="400"/>
      <c r="G29" s="362"/>
      <c r="H29" s="108"/>
      <c r="I29" s="174"/>
      <c r="J29" s="174"/>
      <c r="K29" s="109"/>
      <c r="L29" s="108"/>
      <c r="M29" s="174"/>
      <c r="N29" s="174"/>
      <c r="O29" s="109"/>
      <c r="P29" s="108"/>
      <c r="Q29" s="174"/>
      <c r="R29" s="174"/>
      <c r="S29" s="109"/>
      <c r="T29" s="175"/>
      <c r="U29" s="176"/>
      <c r="V29" s="368"/>
      <c r="W29" s="368"/>
      <c r="X29" s="368"/>
      <c r="Y29" s="470"/>
      <c r="AC29" s="36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68"/>
      <c r="B30" s="469"/>
      <c r="C30" s="11" t="s">
        <v>15</v>
      </c>
      <c r="D30" s="400" t="str">
        <f>(IFERROR(VLOOKUP(A30,List!$H$1:$I$2804,2,FALSE),""))</f>
        <v/>
      </c>
      <c r="E30" s="400"/>
      <c r="F30" s="400"/>
      <c r="G30" s="362"/>
      <c r="H30" s="108"/>
      <c r="I30" s="174"/>
      <c r="J30" s="174"/>
      <c r="K30" s="109"/>
      <c r="L30" s="108"/>
      <c r="M30" s="174"/>
      <c r="N30" s="174"/>
      <c r="O30" s="109"/>
      <c r="P30" s="108"/>
      <c r="Q30" s="174"/>
      <c r="R30" s="174"/>
      <c r="S30" s="109"/>
      <c r="T30" s="175"/>
      <c r="U30" s="176"/>
      <c r="V30" s="368"/>
      <c r="W30" s="368"/>
      <c r="X30" s="368"/>
      <c r="Y30" s="470"/>
      <c r="AC30" s="36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68"/>
      <c r="B31" s="469"/>
      <c r="C31" s="11" t="s">
        <v>15</v>
      </c>
      <c r="D31" s="400" t="str">
        <f>(IFERROR(VLOOKUP(A31,List!$H$1:$I$2804,2,FALSE),""))</f>
        <v/>
      </c>
      <c r="E31" s="400"/>
      <c r="F31" s="400"/>
      <c r="G31" s="362"/>
      <c r="H31" s="108"/>
      <c r="I31" s="174"/>
      <c r="J31" s="174"/>
      <c r="K31" s="109"/>
      <c r="L31" s="108"/>
      <c r="M31" s="174"/>
      <c r="N31" s="174"/>
      <c r="O31" s="109"/>
      <c r="P31" s="108"/>
      <c r="Q31" s="174"/>
      <c r="R31" s="174"/>
      <c r="S31" s="109"/>
      <c r="T31" s="175"/>
      <c r="U31" s="176"/>
      <c r="V31" s="368"/>
      <c r="W31" s="368"/>
      <c r="X31" s="368"/>
      <c r="Y31" s="470"/>
      <c r="AC31" s="36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68"/>
      <c r="B32" s="469"/>
      <c r="C32" s="11" t="s">
        <v>15</v>
      </c>
      <c r="D32" s="400" t="str">
        <f>(IFERROR(VLOOKUP(A32,List!$H$1:$I$2804,2,FALSE),""))</f>
        <v/>
      </c>
      <c r="E32" s="400"/>
      <c r="F32" s="400"/>
      <c r="G32" s="362"/>
      <c r="H32" s="108"/>
      <c r="I32" s="174"/>
      <c r="J32" s="174"/>
      <c r="K32" s="109"/>
      <c r="L32" s="108"/>
      <c r="M32" s="174"/>
      <c r="N32" s="174"/>
      <c r="O32" s="109"/>
      <c r="P32" s="108"/>
      <c r="Q32" s="174"/>
      <c r="R32" s="174"/>
      <c r="S32" s="109"/>
      <c r="T32" s="175"/>
      <c r="U32" s="176"/>
      <c r="V32" s="368"/>
      <c r="W32" s="368"/>
      <c r="X32" s="368"/>
      <c r="Y32" s="470"/>
      <c r="AC32" s="36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68"/>
      <c r="B33" s="469"/>
      <c r="C33" s="11" t="s">
        <v>15</v>
      </c>
      <c r="D33" s="400" t="str">
        <f>(IFERROR(VLOOKUP(A33,List!$H$1:$I$2804,2,FALSE),""))</f>
        <v/>
      </c>
      <c r="E33" s="400"/>
      <c r="F33" s="400"/>
      <c r="G33" s="362"/>
      <c r="H33" s="108"/>
      <c r="I33" s="174"/>
      <c r="J33" s="174"/>
      <c r="K33" s="109"/>
      <c r="L33" s="108"/>
      <c r="M33" s="174"/>
      <c r="N33" s="174"/>
      <c r="O33" s="109"/>
      <c r="P33" s="108"/>
      <c r="Q33" s="174"/>
      <c r="R33" s="174"/>
      <c r="S33" s="109"/>
      <c r="T33" s="175"/>
      <c r="U33" s="176"/>
      <c r="V33" s="368"/>
      <c r="W33" s="368"/>
      <c r="X33" s="368"/>
      <c r="Y33" s="470"/>
      <c r="AC33" s="36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68"/>
      <c r="B34" s="469"/>
      <c r="C34" s="11" t="s">
        <v>15</v>
      </c>
      <c r="D34" s="400" t="str">
        <f>(IFERROR(VLOOKUP(A34,List!$H$1:$I$2804,2,FALSE),""))</f>
        <v/>
      </c>
      <c r="E34" s="400"/>
      <c r="F34" s="400"/>
      <c r="G34" s="362"/>
      <c r="H34" s="108"/>
      <c r="I34" s="174"/>
      <c r="J34" s="174"/>
      <c r="K34" s="109"/>
      <c r="L34" s="108"/>
      <c r="M34" s="174"/>
      <c r="N34" s="174"/>
      <c r="O34" s="109"/>
      <c r="P34" s="108"/>
      <c r="Q34" s="174"/>
      <c r="R34" s="174"/>
      <c r="S34" s="109"/>
      <c r="T34" s="175"/>
      <c r="U34" s="176"/>
      <c r="V34" s="368"/>
      <c r="W34" s="368"/>
      <c r="X34" s="368"/>
      <c r="Y34" s="470"/>
      <c r="AC34" s="36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68"/>
      <c r="B35" s="469"/>
      <c r="C35" s="11" t="s">
        <v>15</v>
      </c>
      <c r="D35" s="400" t="str">
        <f>(IFERROR(VLOOKUP(A35,List!$H$1:$I$2804,2,FALSE),""))</f>
        <v/>
      </c>
      <c r="E35" s="400"/>
      <c r="F35" s="400"/>
      <c r="G35" s="362"/>
      <c r="H35" s="108"/>
      <c r="I35" s="174"/>
      <c r="J35" s="174"/>
      <c r="K35" s="109"/>
      <c r="L35" s="108"/>
      <c r="M35" s="174"/>
      <c r="N35" s="174"/>
      <c r="O35" s="109"/>
      <c r="P35" s="108"/>
      <c r="Q35" s="174"/>
      <c r="R35" s="174"/>
      <c r="S35" s="109"/>
      <c r="T35" s="175"/>
      <c r="U35" s="176"/>
      <c r="V35" s="368"/>
      <c r="W35" s="368"/>
      <c r="X35" s="368"/>
      <c r="Y35" s="470"/>
      <c r="AC35" s="36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68"/>
      <c r="B36" s="469"/>
      <c r="C36" s="11" t="s">
        <v>15</v>
      </c>
      <c r="D36" s="400" t="str">
        <f>(IFERROR(VLOOKUP(A36,List!$H$1:$I$2804,2,FALSE),""))</f>
        <v/>
      </c>
      <c r="E36" s="400"/>
      <c r="F36" s="400"/>
      <c r="G36" s="362"/>
      <c r="H36" s="108"/>
      <c r="I36" s="174"/>
      <c r="J36" s="174"/>
      <c r="K36" s="109"/>
      <c r="L36" s="108"/>
      <c r="M36" s="174"/>
      <c r="N36" s="174"/>
      <c r="O36" s="109"/>
      <c r="P36" s="108"/>
      <c r="Q36" s="174"/>
      <c r="R36" s="174"/>
      <c r="S36" s="109"/>
      <c r="T36" s="175"/>
      <c r="U36" s="176"/>
      <c r="V36" s="368"/>
      <c r="W36" s="368"/>
      <c r="X36" s="368"/>
      <c r="Y36" s="470"/>
      <c r="AC36" s="36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68"/>
      <c r="B37" s="469"/>
      <c r="C37" s="11" t="s">
        <v>15</v>
      </c>
      <c r="D37" s="400" t="str">
        <f>(IFERROR(VLOOKUP(A37,List!$H$1:$I$2804,2,FALSE),""))</f>
        <v/>
      </c>
      <c r="E37" s="400"/>
      <c r="F37" s="400"/>
      <c r="G37" s="362"/>
      <c r="H37" s="108"/>
      <c r="I37" s="174"/>
      <c r="J37" s="174"/>
      <c r="K37" s="109"/>
      <c r="L37" s="108"/>
      <c r="M37" s="174"/>
      <c r="N37" s="174"/>
      <c r="O37" s="109"/>
      <c r="P37" s="108"/>
      <c r="Q37" s="174"/>
      <c r="R37" s="174"/>
      <c r="S37" s="109"/>
      <c r="T37" s="175"/>
      <c r="U37" s="176"/>
      <c r="V37" s="368"/>
      <c r="W37" s="368"/>
      <c r="X37" s="368"/>
      <c r="Y37" s="470"/>
      <c r="AC37" s="36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68"/>
      <c r="B38" s="469"/>
      <c r="C38" s="11" t="s">
        <v>15</v>
      </c>
      <c r="D38" s="400" t="str">
        <f>(IFERROR(VLOOKUP(A38,List!$H$1:$I$2804,2,FALSE),""))</f>
        <v/>
      </c>
      <c r="E38" s="400"/>
      <c r="F38" s="400"/>
      <c r="G38" s="362"/>
      <c r="H38" s="108"/>
      <c r="I38" s="174"/>
      <c r="J38" s="174"/>
      <c r="K38" s="109"/>
      <c r="L38" s="108"/>
      <c r="M38" s="174"/>
      <c r="N38" s="174"/>
      <c r="O38" s="109"/>
      <c r="P38" s="108"/>
      <c r="Q38" s="174"/>
      <c r="R38" s="174"/>
      <c r="S38" s="109"/>
      <c r="T38" s="175"/>
      <c r="U38" s="176"/>
      <c r="V38" s="368"/>
      <c r="W38" s="368"/>
      <c r="X38" s="368"/>
      <c r="Y38" s="470"/>
      <c r="AC38" s="36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68"/>
      <c r="B39" s="469"/>
      <c r="C39" s="11" t="s">
        <v>15</v>
      </c>
      <c r="D39" s="400" t="str">
        <f>(IFERROR(VLOOKUP(A39,List!$H$1:$I$2804,2,FALSE),""))</f>
        <v/>
      </c>
      <c r="E39" s="400"/>
      <c r="F39" s="400"/>
      <c r="G39" s="362"/>
      <c r="H39" s="108"/>
      <c r="I39" s="174"/>
      <c r="J39" s="174"/>
      <c r="K39" s="109"/>
      <c r="L39" s="108"/>
      <c r="M39" s="174"/>
      <c r="N39" s="174"/>
      <c r="O39" s="109"/>
      <c r="P39" s="108"/>
      <c r="Q39" s="174"/>
      <c r="R39" s="174"/>
      <c r="S39" s="109"/>
      <c r="T39" s="175"/>
      <c r="U39" s="176"/>
      <c r="V39" s="368"/>
      <c r="W39" s="368"/>
      <c r="X39" s="368"/>
      <c r="Y39" s="470"/>
      <c r="AC39" s="36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68"/>
      <c r="B40" s="469"/>
      <c r="C40" s="11" t="s">
        <v>15</v>
      </c>
      <c r="D40" s="471" t="str">
        <f>(IFERROR(VLOOKUP(A40,List!$H$1:$I$2804,2,FALSE),""))</f>
        <v/>
      </c>
      <c r="E40" s="472"/>
      <c r="F40" s="472"/>
      <c r="G40" s="472"/>
      <c r="H40" s="110"/>
      <c r="I40" s="102"/>
      <c r="J40" s="102"/>
      <c r="K40" s="111"/>
      <c r="L40" s="110"/>
      <c r="M40" s="102"/>
      <c r="N40" s="102"/>
      <c r="O40" s="111"/>
      <c r="P40" s="110"/>
      <c r="Q40" s="102"/>
      <c r="R40" s="102"/>
      <c r="S40" s="111"/>
      <c r="T40" s="105"/>
      <c r="U40" s="146"/>
      <c r="V40" s="473"/>
      <c r="W40" s="473"/>
      <c r="X40" s="473"/>
      <c r="Y40" s="474"/>
      <c r="AC40" s="36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4"/>
      <c r="B41" s="444"/>
      <c r="C41" s="445" t="s">
        <v>2892</v>
      </c>
      <c r="D41" s="446"/>
      <c r="E41" s="446"/>
      <c r="F41" s="446"/>
      <c r="G41" s="447"/>
      <c r="H41" s="212">
        <f>SUM(H13:H40)</f>
        <v>0</v>
      </c>
      <c r="I41" s="213">
        <f t="shared" ref="I41:S41" si="0">SUM(I13:I40)</f>
        <v>0</v>
      </c>
      <c r="J41" s="213">
        <f t="shared" si="0"/>
        <v>0</v>
      </c>
      <c r="K41" s="214">
        <f t="shared" si="0"/>
        <v>0</v>
      </c>
      <c r="L41" s="215">
        <f t="shared" si="0"/>
        <v>0</v>
      </c>
      <c r="M41" s="213">
        <f t="shared" si="0"/>
        <v>0</v>
      </c>
      <c r="N41" s="213">
        <f t="shared" si="0"/>
        <v>0</v>
      </c>
      <c r="O41" s="214">
        <f t="shared" si="0"/>
        <v>0</v>
      </c>
      <c r="P41" s="216">
        <f t="shared" si="0"/>
        <v>28</v>
      </c>
      <c r="Q41" s="116">
        <f t="shared" si="0"/>
        <v>20</v>
      </c>
      <c r="R41" s="116">
        <f t="shared" si="0"/>
        <v>26</v>
      </c>
      <c r="S41" s="117">
        <f t="shared" si="0"/>
        <v>40</v>
      </c>
      <c r="T41" s="179"/>
      <c r="U41" s="179"/>
      <c r="V41" s="179"/>
      <c r="W41" s="179"/>
      <c r="X41" s="115"/>
      <c r="Y41" s="114"/>
    </row>
    <row r="42" spans="1:32" ht="15.75" customHeight="1" thickTop="1">
      <c r="A42" s="80" t="s">
        <v>2862</v>
      </c>
      <c r="B42" s="81"/>
      <c r="C42" s="113"/>
      <c r="D42" s="448" t="s">
        <v>2863</v>
      </c>
      <c r="E42" s="448"/>
      <c r="F42" s="448"/>
      <c r="G42" s="448"/>
      <c r="H42" s="559"/>
      <c r="I42" s="560"/>
      <c r="J42" s="560"/>
      <c r="K42" s="560"/>
      <c r="L42" s="560"/>
      <c r="M42" s="560"/>
      <c r="N42" s="560"/>
      <c r="O42" s="560"/>
      <c r="P42" s="561"/>
      <c r="Q42" s="450" t="s">
        <v>2899</v>
      </c>
      <c r="R42" s="450"/>
      <c r="S42" s="450"/>
      <c r="T42" s="458" t="s">
        <v>2870</v>
      </c>
      <c r="U42" s="459"/>
      <c r="V42" s="460" t="s">
        <v>2884</v>
      </c>
      <c r="W42" s="118" t="s">
        <v>2893</v>
      </c>
      <c r="X42" s="462" t="s">
        <v>2894</v>
      </c>
      <c r="Y42" s="119"/>
      <c r="AC42" s="36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65" t="s">
        <v>2864</v>
      </c>
      <c r="B43" s="66"/>
      <c r="C43" s="67"/>
      <c r="D43" s="463"/>
      <c r="E43" s="464"/>
      <c r="F43" s="464"/>
      <c r="G43" s="464"/>
      <c r="H43" s="562"/>
      <c r="I43" s="563"/>
      <c r="J43" s="563"/>
      <c r="K43" s="563"/>
      <c r="L43" s="563"/>
      <c r="M43" s="563"/>
      <c r="N43" s="563"/>
      <c r="O43" s="563"/>
      <c r="P43" s="564"/>
      <c r="Q43" s="180"/>
      <c r="R43" s="180"/>
      <c r="S43" s="180"/>
      <c r="T43" s="466"/>
      <c r="U43" s="464"/>
      <c r="V43" s="568"/>
      <c r="W43" s="98"/>
      <c r="X43" s="462"/>
      <c r="Y43" s="120"/>
      <c r="AC43" s="36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68" t="s">
        <v>2865</v>
      </c>
      <c r="B44" s="69"/>
      <c r="C44" s="66"/>
      <c r="D44" s="464"/>
      <c r="E44" s="464"/>
      <c r="F44" s="464"/>
      <c r="G44" s="464"/>
      <c r="H44" s="562"/>
      <c r="I44" s="563"/>
      <c r="J44" s="563"/>
      <c r="K44" s="563"/>
      <c r="L44" s="563"/>
      <c r="M44" s="563"/>
      <c r="N44" s="563"/>
      <c r="O44" s="563"/>
      <c r="P44" s="564"/>
      <c r="Q44" s="180"/>
      <c r="R44" s="180"/>
      <c r="S44" s="180"/>
      <c r="T44" s="464"/>
      <c r="U44" s="464"/>
      <c r="V44" s="568"/>
      <c r="W44" s="277" t="s">
        <v>3023</v>
      </c>
      <c r="X44" s="467"/>
      <c r="Y44" s="443"/>
      <c r="AC44" s="36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68" t="s">
        <v>2866</v>
      </c>
      <c r="B45" s="70"/>
      <c r="C45" s="66"/>
      <c r="D45" s="464"/>
      <c r="E45" s="464"/>
      <c r="F45" s="464"/>
      <c r="G45" s="464"/>
      <c r="H45" s="562"/>
      <c r="I45" s="563"/>
      <c r="J45" s="563"/>
      <c r="K45" s="563"/>
      <c r="L45" s="563"/>
      <c r="M45" s="563"/>
      <c r="N45" s="563"/>
      <c r="O45" s="563"/>
      <c r="P45" s="564"/>
      <c r="Q45" s="180"/>
      <c r="R45" s="180"/>
      <c r="S45" s="180"/>
      <c r="T45" s="464"/>
      <c r="U45" s="464"/>
      <c r="V45" s="568"/>
      <c r="W45" s="98"/>
      <c r="X45" s="467"/>
      <c r="Y45" s="443"/>
      <c r="AC45" s="36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71" t="s">
        <v>2867</v>
      </c>
      <c r="B46" s="72"/>
      <c r="C46" s="73"/>
      <c r="D46" s="465"/>
      <c r="E46" s="465"/>
      <c r="F46" s="465"/>
      <c r="G46" s="465"/>
      <c r="H46" s="565"/>
      <c r="I46" s="566"/>
      <c r="J46" s="566"/>
      <c r="K46" s="566"/>
      <c r="L46" s="566"/>
      <c r="M46" s="566"/>
      <c r="N46" s="566"/>
      <c r="O46" s="566"/>
      <c r="P46" s="567"/>
      <c r="Q46" s="181"/>
      <c r="R46" s="181"/>
      <c r="S46" s="181"/>
      <c r="T46" s="465"/>
      <c r="U46" s="465"/>
      <c r="V46" s="79"/>
      <c r="W46" s="186" t="s">
        <v>3034</v>
      </c>
      <c r="X46" s="163"/>
      <c r="Y46" s="187"/>
      <c r="AC46" s="36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321" t="s">
        <v>2881</v>
      </c>
      <c r="B47" s="322"/>
      <c r="C47" s="322"/>
      <c r="D47" s="322"/>
      <c r="E47" s="322"/>
      <c r="F47" s="322"/>
      <c r="G47" s="322"/>
      <c r="H47" s="531"/>
      <c r="I47" s="531"/>
      <c r="J47" s="531"/>
      <c r="K47" s="531"/>
      <c r="L47" s="531"/>
      <c r="M47" s="531"/>
      <c r="N47" s="531"/>
      <c r="O47" s="531"/>
      <c r="P47" s="531"/>
      <c r="Q47" s="322"/>
      <c r="R47" s="322"/>
      <c r="S47" s="322"/>
      <c r="T47" s="322"/>
      <c r="U47" s="322"/>
      <c r="V47" s="322"/>
      <c r="W47" s="322"/>
      <c r="X47" s="322"/>
      <c r="Y47" s="324"/>
      <c r="AC47" s="36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165" t="s">
        <v>5</v>
      </c>
      <c r="B48" s="274">
        <v>42541</v>
      </c>
      <c r="C48" s="260"/>
      <c r="D48" s="260" t="s">
        <v>2847</v>
      </c>
      <c r="E48" s="514" t="s">
        <v>3017</v>
      </c>
      <c r="F48" s="515"/>
      <c r="G48" s="515"/>
      <c r="H48" s="515"/>
      <c r="I48" s="515"/>
      <c r="J48" s="515"/>
      <c r="K48" s="515"/>
      <c r="L48" s="515"/>
      <c r="M48" s="515"/>
      <c r="N48" s="515"/>
      <c r="O48" s="515"/>
      <c r="P48" s="515"/>
      <c r="Q48" s="515"/>
      <c r="R48" s="515"/>
      <c r="S48" s="515"/>
      <c r="T48" s="515"/>
      <c r="U48" s="515"/>
      <c r="V48" s="515"/>
      <c r="W48" s="515"/>
      <c r="X48" s="515"/>
      <c r="Y48" s="516"/>
    </row>
    <row r="49" spans="1:33" ht="16.5" thickTop="1" thickBot="1">
      <c r="A49" s="167" t="s">
        <v>10</v>
      </c>
      <c r="B49" s="56">
        <v>2</v>
      </c>
      <c r="C49" s="11" t="s">
        <v>15</v>
      </c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7"/>
      <c r="X49" s="7"/>
      <c r="Y49" s="6"/>
      <c r="AC49" s="36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165" t="s">
        <v>2873</v>
      </c>
      <c r="B50" s="10" t="s">
        <v>12</v>
      </c>
      <c r="C50" s="11" t="s">
        <v>15</v>
      </c>
      <c r="D50" s="217" t="s">
        <v>2869</v>
      </c>
      <c r="E50" s="517"/>
      <c r="F50" s="518"/>
      <c r="G50" s="518"/>
      <c r="H50" s="518"/>
      <c r="I50" s="518"/>
      <c r="J50" s="518"/>
      <c r="K50" s="518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518"/>
      <c r="Y50" s="541"/>
      <c r="AC50" s="36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19" t="s">
        <v>33</v>
      </c>
      <c r="B51" s="521"/>
      <c r="C51" s="521"/>
      <c r="D51" s="521"/>
      <c r="E51" s="521"/>
      <c r="F51" s="522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209" t="s">
        <v>2885</v>
      </c>
      <c r="W51" s="13"/>
      <c r="X51" s="13"/>
      <c r="Y51" s="14"/>
      <c r="AC51" s="36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07" t="s">
        <v>35</v>
      </c>
      <c r="B52" s="206" t="s">
        <v>40</v>
      </c>
      <c r="C52" s="11" t="s">
        <v>15</v>
      </c>
      <c r="D52" s="498"/>
      <c r="E52" s="499"/>
      <c r="F52" s="500"/>
      <c r="G52" s="512" t="s">
        <v>31</v>
      </c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249"/>
      <c r="V52" s="489"/>
      <c r="W52" s="490"/>
      <c r="X52" s="490"/>
      <c r="Y52" s="491"/>
      <c r="AC52" s="36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08" t="s">
        <v>2889</v>
      </c>
      <c r="B53" s="206" t="s">
        <v>37</v>
      </c>
      <c r="C53" s="11" t="s">
        <v>15</v>
      </c>
      <c r="D53" s="501"/>
      <c r="E53" s="502"/>
      <c r="F53" s="503"/>
      <c r="G53" s="504"/>
      <c r="H53" s="505"/>
      <c r="I53" s="505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249"/>
      <c r="V53" s="492"/>
      <c r="W53" s="493"/>
      <c r="X53" s="493"/>
      <c r="Y53" s="494"/>
      <c r="AC53" s="36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508" t="s">
        <v>2871</v>
      </c>
      <c r="B54" s="510"/>
      <c r="C54" s="510"/>
      <c r="D54" s="510"/>
      <c r="E54" s="510"/>
      <c r="F54" s="510"/>
      <c r="G54" s="506"/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249"/>
      <c r="V54" s="492"/>
      <c r="W54" s="493"/>
      <c r="X54" s="493"/>
      <c r="Y54" s="494"/>
      <c r="AC54" s="36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509"/>
      <c r="B55" s="511"/>
      <c r="C55" s="511"/>
      <c r="D55" s="511"/>
      <c r="E55" s="511"/>
      <c r="F55" s="511"/>
      <c r="G55" s="506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249"/>
      <c r="V55" s="495"/>
      <c r="W55" s="496"/>
      <c r="X55" s="496"/>
      <c r="Y55" s="497"/>
      <c r="AC55" s="36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557" t="s">
        <v>2843</v>
      </c>
      <c r="B56" s="480"/>
      <c r="C56" s="480"/>
      <c r="D56" s="480"/>
      <c r="E56" s="480"/>
      <c r="F56" s="480"/>
      <c r="G56" s="558"/>
      <c r="H56" s="476" t="s">
        <v>2890</v>
      </c>
      <c r="I56" s="477"/>
      <c r="J56" s="477"/>
      <c r="K56" s="478"/>
      <c r="L56" s="476" t="s">
        <v>2891</v>
      </c>
      <c r="M56" s="477"/>
      <c r="N56" s="477"/>
      <c r="O56" s="478"/>
      <c r="P56" s="476" t="s">
        <v>2914</v>
      </c>
      <c r="Q56" s="477"/>
      <c r="R56" s="477"/>
      <c r="S56" s="478"/>
      <c r="T56" s="479"/>
      <c r="U56" s="480"/>
      <c r="V56" s="480"/>
      <c r="W56" s="480"/>
      <c r="X56" s="480"/>
      <c r="Y56" s="481"/>
      <c r="AG56" s="2"/>
    </row>
    <row r="57" spans="1:33" ht="15.75" thickBot="1">
      <c r="A57" s="482" t="s">
        <v>2872</v>
      </c>
      <c r="B57" s="483"/>
      <c r="C57" s="484"/>
      <c r="D57" s="485" t="s">
        <v>2844</v>
      </c>
      <c r="E57" s="475"/>
      <c r="F57" s="475"/>
      <c r="G57" s="536"/>
      <c r="H57" s="106" t="s">
        <v>2852</v>
      </c>
      <c r="I57" s="182" t="s">
        <v>2850</v>
      </c>
      <c r="J57" s="182" t="s">
        <v>2849</v>
      </c>
      <c r="K57" s="107" t="s">
        <v>2851</v>
      </c>
      <c r="L57" s="106" t="s">
        <v>2852</v>
      </c>
      <c r="M57" s="182" t="s">
        <v>2850</v>
      </c>
      <c r="N57" s="182" t="s">
        <v>2849</v>
      </c>
      <c r="O57" s="107" t="s">
        <v>2851</v>
      </c>
      <c r="P57" s="106" t="s">
        <v>2852</v>
      </c>
      <c r="Q57" s="182" t="s">
        <v>2850</v>
      </c>
      <c r="R57" s="182" t="s">
        <v>2849</v>
      </c>
      <c r="S57" s="178" t="s">
        <v>2851</v>
      </c>
      <c r="T57" s="74"/>
      <c r="U57" s="74"/>
      <c r="V57" s="164"/>
      <c r="W57" s="536" t="s">
        <v>2845</v>
      </c>
      <c r="X57" s="539"/>
      <c r="Y57" s="540"/>
      <c r="AC57" s="36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68" t="s">
        <v>1284</v>
      </c>
      <c r="B58" s="469"/>
      <c r="C58" s="11" t="s">
        <v>15</v>
      </c>
      <c r="D58" s="400" t="str">
        <f>(IFERROR(VLOOKUP(A58,List!$H$1:$I$2804,2,FALSE),""))</f>
        <v>OBL</v>
      </c>
      <c r="E58" s="400"/>
      <c r="F58" s="400"/>
      <c r="G58" s="400"/>
      <c r="H58" s="108"/>
      <c r="I58" s="174"/>
      <c r="J58" s="174"/>
      <c r="K58" s="109"/>
      <c r="L58" s="108"/>
      <c r="M58" s="174"/>
      <c r="N58" s="174"/>
      <c r="O58" s="109"/>
      <c r="P58" s="108">
        <v>35</v>
      </c>
      <c r="Q58" s="174"/>
      <c r="R58" s="174"/>
      <c r="S58" s="176"/>
      <c r="T58" s="174"/>
      <c r="U58" s="174"/>
      <c r="V58" s="362"/>
      <c r="W58" s="368"/>
      <c r="X58" s="368"/>
      <c r="Y58" s="470"/>
      <c r="AC58" s="36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68" t="s">
        <v>2810</v>
      </c>
      <c r="B59" s="469"/>
      <c r="C59" s="11" t="s">
        <v>15</v>
      </c>
      <c r="D59" s="400" t="str">
        <f>(IFERROR(VLOOKUP(A59,List!$H$1:$I$2804,2,FALSE),""))</f>
        <v>FACW</v>
      </c>
      <c r="E59" s="400"/>
      <c r="F59" s="400"/>
      <c r="G59" s="400"/>
      <c r="H59" s="108"/>
      <c r="I59" s="174"/>
      <c r="J59" s="174"/>
      <c r="K59" s="109"/>
      <c r="L59" s="108"/>
      <c r="M59" s="174"/>
      <c r="N59" s="174"/>
      <c r="O59" s="109"/>
      <c r="P59" s="108"/>
      <c r="Q59" s="174">
        <v>15</v>
      </c>
      <c r="R59" s="174"/>
      <c r="S59" s="176"/>
      <c r="T59" s="174"/>
      <c r="U59" s="174"/>
      <c r="V59" s="362"/>
      <c r="W59" s="368"/>
      <c r="X59" s="368"/>
      <c r="Y59" s="363"/>
      <c r="AC59" s="36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68" t="s">
        <v>1425</v>
      </c>
      <c r="B60" s="469"/>
      <c r="C60" s="11" t="s">
        <v>15</v>
      </c>
      <c r="D60" s="400" t="str">
        <f>(IFERROR(VLOOKUP(A60,List!$H$1:$I$2804,2,FALSE),""))</f>
        <v>FAC</v>
      </c>
      <c r="E60" s="400"/>
      <c r="F60" s="400"/>
      <c r="G60" s="400"/>
      <c r="H60" s="108"/>
      <c r="I60" s="174"/>
      <c r="J60" s="174"/>
      <c r="K60" s="109"/>
      <c r="L60" s="108"/>
      <c r="M60" s="174"/>
      <c r="N60" s="174"/>
      <c r="O60" s="109"/>
      <c r="P60" s="108"/>
      <c r="Q60" s="174"/>
      <c r="R60" s="174">
        <v>12</v>
      </c>
      <c r="S60" s="176"/>
      <c r="T60" s="174"/>
      <c r="U60" s="174"/>
      <c r="V60" s="362"/>
      <c r="W60" s="368"/>
      <c r="X60" s="368"/>
      <c r="Y60" s="363"/>
      <c r="AC60" s="36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68" t="s">
        <v>993</v>
      </c>
      <c r="B61" s="469"/>
      <c r="C61" s="11" t="s">
        <v>15</v>
      </c>
      <c r="D61" s="400" t="str">
        <f>(IFERROR(VLOOKUP(A61,List!$H$1:$I$2804,2,FALSE),""))</f>
        <v>OBL</v>
      </c>
      <c r="E61" s="400"/>
      <c r="F61" s="400"/>
      <c r="G61" s="400"/>
      <c r="H61" s="108"/>
      <c r="I61" s="174"/>
      <c r="J61" s="174"/>
      <c r="K61" s="109"/>
      <c r="L61" s="108"/>
      <c r="M61" s="174"/>
      <c r="N61" s="174"/>
      <c r="O61" s="109"/>
      <c r="P61" s="108">
        <v>5</v>
      </c>
      <c r="Q61" s="174"/>
      <c r="R61" s="174"/>
      <c r="S61" s="176"/>
      <c r="T61" s="174"/>
      <c r="U61" s="174"/>
      <c r="V61" s="362"/>
      <c r="W61" s="368"/>
      <c r="X61" s="368"/>
      <c r="Y61" s="363"/>
      <c r="AC61" s="36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68" t="s">
        <v>1997</v>
      </c>
      <c r="B62" s="469"/>
      <c r="C62" s="11" t="s">
        <v>15</v>
      </c>
      <c r="D62" s="400" t="str">
        <f>(IFERROR(VLOOKUP(A62,List!$H$1:$I$2804,2,FALSE),""))</f>
        <v>FACW</v>
      </c>
      <c r="E62" s="400"/>
      <c r="F62" s="400"/>
      <c r="G62" s="400"/>
      <c r="H62" s="108"/>
      <c r="I62" s="174"/>
      <c r="J62" s="174"/>
      <c r="K62" s="109"/>
      <c r="L62" s="108"/>
      <c r="M62" s="174"/>
      <c r="N62" s="174"/>
      <c r="O62" s="109"/>
      <c r="P62" s="108"/>
      <c r="Q62" s="174">
        <v>2</v>
      </c>
      <c r="R62" s="174"/>
      <c r="S62" s="176"/>
      <c r="T62" s="174"/>
      <c r="U62" s="174"/>
      <c r="V62" s="362"/>
      <c r="W62" s="368"/>
      <c r="X62" s="368"/>
      <c r="Y62" s="363"/>
      <c r="AC62" s="36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68" t="s">
        <v>2164</v>
      </c>
      <c r="B63" s="469"/>
      <c r="C63" s="11" t="s">
        <v>15</v>
      </c>
      <c r="D63" s="400" t="str">
        <f>(IFERROR(VLOOKUP(A63,List!$H$1:$I$2804,2,FALSE),""))</f>
        <v>OBL</v>
      </c>
      <c r="E63" s="400"/>
      <c r="F63" s="400"/>
      <c r="G63" s="400"/>
      <c r="H63" s="108"/>
      <c r="I63" s="174"/>
      <c r="J63" s="174"/>
      <c r="K63" s="109"/>
      <c r="L63" s="108"/>
      <c r="M63" s="174"/>
      <c r="N63" s="174"/>
      <c r="O63" s="109"/>
      <c r="P63" s="108">
        <v>1</v>
      </c>
      <c r="Q63" s="174"/>
      <c r="R63" s="174"/>
      <c r="S63" s="176"/>
      <c r="T63" s="174"/>
      <c r="U63" s="174"/>
      <c r="V63" s="362"/>
      <c r="W63" s="368"/>
      <c r="X63" s="368"/>
      <c r="Y63" s="470"/>
      <c r="AC63" s="36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68" t="s">
        <v>2175</v>
      </c>
      <c r="B64" s="469"/>
      <c r="C64" s="11" t="s">
        <v>15</v>
      </c>
      <c r="D64" s="400" t="str">
        <f>(IFERROR(VLOOKUP(A64,List!$H$1:$I$2804,2,FALSE),""))</f>
        <v>FACW</v>
      </c>
      <c r="E64" s="400"/>
      <c r="F64" s="400"/>
      <c r="G64" s="400"/>
      <c r="H64" s="108"/>
      <c r="I64" s="174"/>
      <c r="J64" s="174"/>
      <c r="K64" s="109"/>
      <c r="L64" s="108"/>
      <c r="M64" s="174"/>
      <c r="N64" s="174"/>
      <c r="O64" s="109"/>
      <c r="P64" s="108"/>
      <c r="Q64" s="174">
        <v>1</v>
      </c>
      <c r="R64" s="174"/>
      <c r="S64" s="176"/>
      <c r="T64" s="174"/>
      <c r="U64" s="174"/>
      <c r="V64" s="362"/>
      <c r="W64" s="368"/>
      <c r="X64" s="368"/>
      <c r="Y64" s="470"/>
      <c r="AC64" s="36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68" t="s">
        <v>2067</v>
      </c>
      <c r="B65" s="469"/>
      <c r="C65" s="11" t="s">
        <v>15</v>
      </c>
      <c r="D65" s="400" t="str">
        <f>(IFERROR(VLOOKUP(A65,List!$H$1:$I$2804,2,FALSE),""))</f>
        <v>OBL</v>
      </c>
      <c r="E65" s="400"/>
      <c r="F65" s="400"/>
      <c r="G65" s="400"/>
      <c r="H65" s="108"/>
      <c r="I65" s="174"/>
      <c r="J65" s="174"/>
      <c r="K65" s="109"/>
      <c r="L65" s="108"/>
      <c r="M65" s="174"/>
      <c r="N65" s="174"/>
      <c r="O65" s="109"/>
      <c r="P65" s="108">
        <v>10</v>
      </c>
      <c r="Q65" s="174"/>
      <c r="R65" s="174"/>
      <c r="S65" s="176"/>
      <c r="T65" s="174"/>
      <c r="U65" s="174"/>
      <c r="V65" s="362"/>
      <c r="W65" s="368"/>
      <c r="X65" s="368"/>
      <c r="Y65" s="470"/>
      <c r="AC65" s="36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68" t="s">
        <v>891</v>
      </c>
      <c r="B66" s="469"/>
      <c r="C66" s="11" t="s">
        <v>15</v>
      </c>
      <c r="D66" s="400" t="str">
        <f>(IFERROR(VLOOKUP(A66,List!$H$1:$I$2804,2,FALSE),""))</f>
        <v>FACW</v>
      </c>
      <c r="E66" s="400"/>
      <c r="F66" s="400"/>
      <c r="G66" s="400"/>
      <c r="H66" s="108"/>
      <c r="I66" s="174"/>
      <c r="J66" s="174"/>
      <c r="K66" s="109"/>
      <c r="L66" s="108"/>
      <c r="M66" s="174"/>
      <c r="N66" s="174"/>
      <c r="O66" s="109"/>
      <c r="P66" s="108"/>
      <c r="Q66" s="174">
        <v>4</v>
      </c>
      <c r="R66" s="174"/>
      <c r="S66" s="176"/>
      <c r="T66" s="174"/>
      <c r="U66" s="174"/>
      <c r="V66" s="362"/>
      <c r="W66" s="368"/>
      <c r="X66" s="368"/>
      <c r="Y66" s="470"/>
      <c r="AC66" s="36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68" t="s">
        <v>2140</v>
      </c>
      <c r="B67" s="469"/>
      <c r="C67" s="11" t="s">
        <v>15</v>
      </c>
      <c r="D67" s="400" t="str">
        <f>(IFERROR(VLOOKUP(A67,List!$H$1:$I$2804,2,FALSE),""))</f>
        <v>FACW</v>
      </c>
      <c r="E67" s="400"/>
      <c r="F67" s="400"/>
      <c r="G67" s="400"/>
      <c r="H67" s="108"/>
      <c r="I67" s="174"/>
      <c r="J67" s="174"/>
      <c r="K67" s="109"/>
      <c r="L67" s="108"/>
      <c r="M67" s="174"/>
      <c r="N67" s="174"/>
      <c r="O67" s="109"/>
      <c r="P67" s="108"/>
      <c r="Q67" s="174">
        <v>8</v>
      </c>
      <c r="R67" s="174"/>
      <c r="S67" s="176"/>
      <c r="T67" s="174"/>
      <c r="U67" s="174"/>
      <c r="V67" s="362"/>
      <c r="W67" s="368"/>
      <c r="X67" s="368"/>
      <c r="Y67" s="470"/>
      <c r="AC67" s="36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68" t="s">
        <v>2262</v>
      </c>
      <c r="B68" s="469"/>
      <c r="C68" s="11" t="s">
        <v>15</v>
      </c>
      <c r="D68" s="400" t="str">
        <f>(IFERROR(VLOOKUP(A68,List!$H$1:$I$2804,2,FALSE),""))</f>
        <v>FACW</v>
      </c>
      <c r="E68" s="400"/>
      <c r="F68" s="400"/>
      <c r="G68" s="400"/>
      <c r="H68" s="108"/>
      <c r="I68" s="174"/>
      <c r="J68" s="174"/>
      <c r="K68" s="109"/>
      <c r="L68" s="108"/>
      <c r="M68" s="174"/>
      <c r="N68" s="174"/>
      <c r="O68" s="109"/>
      <c r="P68" s="108"/>
      <c r="Q68" s="174">
        <v>1</v>
      </c>
      <c r="R68" s="174"/>
      <c r="S68" s="176"/>
      <c r="T68" s="174"/>
      <c r="U68" s="174"/>
      <c r="V68" s="362"/>
      <c r="W68" s="368"/>
      <c r="X68" s="368"/>
      <c r="Y68" s="470"/>
      <c r="AC68" s="36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68" t="s">
        <v>1300</v>
      </c>
      <c r="B69" s="469"/>
      <c r="C69" s="11" t="s">
        <v>15</v>
      </c>
      <c r="D69" s="400" t="str">
        <f>(IFERROR(VLOOKUP(A69,List!$H$1:$I$2804,2,FALSE),""))</f>
        <v>FAC</v>
      </c>
      <c r="E69" s="400"/>
      <c r="F69" s="400"/>
      <c r="G69" s="400"/>
      <c r="H69" s="108"/>
      <c r="I69" s="174"/>
      <c r="J69" s="174"/>
      <c r="K69" s="109"/>
      <c r="L69" s="108"/>
      <c r="M69" s="174"/>
      <c r="N69" s="174"/>
      <c r="O69" s="109"/>
      <c r="P69" s="108"/>
      <c r="Q69" s="174"/>
      <c r="R69" s="174">
        <v>1</v>
      </c>
      <c r="S69" s="176"/>
      <c r="T69" s="174"/>
      <c r="U69" s="174"/>
      <c r="V69" s="362"/>
      <c r="W69" s="368"/>
      <c r="X69" s="368"/>
      <c r="Y69" s="470"/>
      <c r="AC69" s="36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68" t="s">
        <v>156</v>
      </c>
      <c r="B70" s="469"/>
      <c r="C70" s="11" t="s">
        <v>15</v>
      </c>
      <c r="D70" s="400" t="str">
        <f>(IFERROR(VLOOKUP(A70,List!$H$1:$I$2804,2,FALSE),""))</f>
        <v>FACW</v>
      </c>
      <c r="E70" s="400"/>
      <c r="F70" s="400"/>
      <c r="G70" s="400"/>
      <c r="H70" s="108"/>
      <c r="I70" s="174"/>
      <c r="J70" s="174"/>
      <c r="K70" s="109"/>
      <c r="L70" s="108"/>
      <c r="M70" s="174"/>
      <c r="N70" s="174"/>
      <c r="O70" s="109"/>
      <c r="P70" s="108"/>
      <c r="Q70" s="174">
        <v>1</v>
      </c>
      <c r="R70" s="174"/>
      <c r="S70" s="176"/>
      <c r="T70" s="174"/>
      <c r="U70" s="174"/>
      <c r="V70" s="362"/>
      <c r="W70" s="368"/>
      <c r="X70" s="368"/>
      <c r="Y70" s="470"/>
      <c r="AC70" s="36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68" t="s">
        <v>2534</v>
      </c>
      <c r="B71" s="469"/>
      <c r="C71" s="11" t="s">
        <v>15</v>
      </c>
      <c r="D71" s="400" t="str">
        <f>(IFERROR(VLOOKUP(A71,List!$H$1:$I$2804,2,FALSE),""))</f>
        <v>OBL</v>
      </c>
      <c r="E71" s="400"/>
      <c r="F71" s="400"/>
      <c r="G71" s="400"/>
      <c r="H71" s="108"/>
      <c r="I71" s="174"/>
      <c r="J71" s="174"/>
      <c r="K71" s="109"/>
      <c r="L71" s="108"/>
      <c r="M71" s="174"/>
      <c r="N71" s="174"/>
      <c r="O71" s="109"/>
      <c r="P71" s="108">
        <v>1</v>
      </c>
      <c r="Q71" s="174"/>
      <c r="R71" s="174"/>
      <c r="S71" s="176"/>
      <c r="T71" s="174"/>
      <c r="U71" s="174"/>
      <c r="V71" s="362"/>
      <c r="W71" s="368"/>
      <c r="X71" s="368"/>
      <c r="Y71" s="470"/>
      <c r="AC71" s="36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68"/>
      <c r="B72" s="469"/>
      <c r="C72" s="11" t="s">
        <v>15</v>
      </c>
      <c r="D72" s="400" t="str">
        <f>(IFERROR(VLOOKUP(A72,List!$H$1:$I$2804,2,FALSE),""))</f>
        <v/>
      </c>
      <c r="E72" s="400"/>
      <c r="F72" s="400"/>
      <c r="G72" s="400"/>
      <c r="H72" s="108"/>
      <c r="I72" s="174"/>
      <c r="J72" s="174"/>
      <c r="K72" s="109"/>
      <c r="L72" s="108"/>
      <c r="M72" s="174"/>
      <c r="N72" s="174"/>
      <c r="O72" s="109"/>
      <c r="P72" s="108"/>
      <c r="Q72" s="174"/>
      <c r="R72" s="174"/>
      <c r="S72" s="176"/>
      <c r="T72" s="174"/>
      <c r="U72" s="174"/>
      <c r="V72" s="362"/>
      <c r="W72" s="368"/>
      <c r="X72" s="368"/>
      <c r="Y72" s="470"/>
      <c r="AC72" s="36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68"/>
      <c r="B73" s="469"/>
      <c r="C73" s="11" t="s">
        <v>15</v>
      </c>
      <c r="D73" s="400" t="str">
        <f>(IFERROR(VLOOKUP(A73,List!$H$1:$I$2804,2,FALSE),""))</f>
        <v/>
      </c>
      <c r="E73" s="400"/>
      <c r="F73" s="400"/>
      <c r="G73" s="400"/>
      <c r="H73" s="108"/>
      <c r="I73" s="174"/>
      <c r="J73" s="174"/>
      <c r="K73" s="109"/>
      <c r="L73" s="108"/>
      <c r="M73" s="174"/>
      <c r="N73" s="174"/>
      <c r="O73" s="109"/>
      <c r="P73" s="108"/>
      <c r="Q73" s="174"/>
      <c r="R73" s="174"/>
      <c r="S73" s="176"/>
      <c r="T73" s="174"/>
      <c r="U73" s="174"/>
      <c r="V73" s="362"/>
      <c r="W73" s="368"/>
      <c r="X73" s="368"/>
      <c r="Y73" s="470"/>
      <c r="AC73" s="36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68"/>
      <c r="B74" s="469"/>
      <c r="C74" s="11" t="s">
        <v>15</v>
      </c>
      <c r="D74" s="400" t="str">
        <f>(IFERROR(VLOOKUP(A74,List!$H$1:$I$2804,2,FALSE),""))</f>
        <v/>
      </c>
      <c r="E74" s="400"/>
      <c r="F74" s="400"/>
      <c r="G74" s="400"/>
      <c r="H74" s="108"/>
      <c r="I74" s="174"/>
      <c r="J74" s="174"/>
      <c r="K74" s="109"/>
      <c r="L74" s="108"/>
      <c r="M74" s="174"/>
      <c r="N74" s="174"/>
      <c r="O74" s="109"/>
      <c r="P74" s="108"/>
      <c r="Q74" s="174"/>
      <c r="R74" s="174"/>
      <c r="S74" s="176"/>
      <c r="T74" s="174"/>
      <c r="U74" s="174"/>
      <c r="V74" s="362"/>
      <c r="W74" s="368"/>
      <c r="X74" s="368"/>
      <c r="Y74" s="470"/>
      <c r="AC74" s="36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68"/>
      <c r="B75" s="469"/>
      <c r="C75" s="11" t="s">
        <v>15</v>
      </c>
      <c r="D75" s="400" t="str">
        <f>(IFERROR(VLOOKUP(A75,List!$H$1:$I$2804,2,FALSE),""))</f>
        <v/>
      </c>
      <c r="E75" s="400"/>
      <c r="F75" s="400"/>
      <c r="G75" s="400"/>
      <c r="H75" s="108"/>
      <c r="I75" s="174"/>
      <c r="J75" s="174"/>
      <c r="K75" s="109"/>
      <c r="L75" s="108"/>
      <c r="M75" s="174"/>
      <c r="N75" s="174"/>
      <c r="O75" s="109"/>
      <c r="P75" s="108"/>
      <c r="Q75" s="174"/>
      <c r="R75" s="174"/>
      <c r="S75" s="176"/>
      <c r="T75" s="174"/>
      <c r="U75" s="174"/>
      <c r="V75" s="362"/>
      <c r="W75" s="368"/>
      <c r="X75" s="368"/>
      <c r="Y75" s="470"/>
      <c r="AC75" s="36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68"/>
      <c r="B76" s="469"/>
      <c r="C76" s="11" t="s">
        <v>15</v>
      </c>
      <c r="D76" s="400" t="str">
        <f>(IFERROR(VLOOKUP(A76,List!$H$1:$I$2804,2,FALSE),""))</f>
        <v/>
      </c>
      <c r="E76" s="400"/>
      <c r="F76" s="400"/>
      <c r="G76" s="400"/>
      <c r="H76" s="108"/>
      <c r="I76" s="174"/>
      <c r="J76" s="174"/>
      <c r="K76" s="109"/>
      <c r="L76" s="108"/>
      <c r="M76" s="174"/>
      <c r="N76" s="174"/>
      <c r="O76" s="109"/>
      <c r="P76" s="108"/>
      <c r="Q76" s="174"/>
      <c r="R76" s="174"/>
      <c r="S76" s="176"/>
      <c r="T76" s="174"/>
      <c r="U76" s="174"/>
      <c r="V76" s="362"/>
      <c r="W76" s="368"/>
      <c r="X76" s="368"/>
      <c r="Y76" s="470"/>
      <c r="AC76" s="36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68"/>
      <c r="B77" s="469"/>
      <c r="C77" s="11" t="s">
        <v>15</v>
      </c>
      <c r="D77" s="400" t="str">
        <f>(IFERROR(VLOOKUP(A77,List!$H$1:$I$2804,2,FALSE),""))</f>
        <v/>
      </c>
      <c r="E77" s="400"/>
      <c r="F77" s="400"/>
      <c r="G77" s="400"/>
      <c r="H77" s="108"/>
      <c r="I77" s="174"/>
      <c r="J77" s="174"/>
      <c r="K77" s="109"/>
      <c r="L77" s="108"/>
      <c r="M77" s="174"/>
      <c r="N77" s="174"/>
      <c r="O77" s="109"/>
      <c r="P77" s="108"/>
      <c r="Q77" s="174"/>
      <c r="R77" s="174"/>
      <c r="S77" s="176"/>
      <c r="T77" s="174"/>
      <c r="U77" s="174"/>
      <c r="V77" s="362"/>
      <c r="W77" s="368"/>
      <c r="X77" s="368"/>
      <c r="Y77" s="470"/>
      <c r="AC77" s="36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68"/>
      <c r="B78" s="469"/>
      <c r="C78" s="11" t="s">
        <v>15</v>
      </c>
      <c r="D78" s="400" t="str">
        <f>(IFERROR(VLOOKUP(A78,List!$H$1:$I$2804,2,FALSE),""))</f>
        <v/>
      </c>
      <c r="E78" s="400"/>
      <c r="F78" s="400"/>
      <c r="G78" s="400"/>
      <c r="H78" s="108"/>
      <c r="I78" s="174"/>
      <c r="J78" s="174"/>
      <c r="K78" s="109"/>
      <c r="L78" s="108"/>
      <c r="M78" s="174"/>
      <c r="N78" s="174"/>
      <c r="O78" s="109"/>
      <c r="P78" s="108"/>
      <c r="Q78" s="174"/>
      <c r="R78" s="174"/>
      <c r="S78" s="176"/>
      <c r="T78" s="174"/>
      <c r="U78" s="174"/>
      <c r="V78" s="362"/>
      <c r="W78" s="368"/>
      <c r="X78" s="368"/>
      <c r="Y78" s="470"/>
      <c r="AC78" s="36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68"/>
      <c r="B79" s="469"/>
      <c r="C79" s="11" t="s">
        <v>15</v>
      </c>
      <c r="D79" s="400" t="str">
        <f>(IFERROR(VLOOKUP(A79,List!$H$1:$I$2804,2,FALSE),""))</f>
        <v/>
      </c>
      <c r="E79" s="400"/>
      <c r="F79" s="400"/>
      <c r="G79" s="400"/>
      <c r="H79" s="108"/>
      <c r="I79" s="174"/>
      <c r="J79" s="174"/>
      <c r="K79" s="109"/>
      <c r="L79" s="108"/>
      <c r="M79" s="174"/>
      <c r="N79" s="174"/>
      <c r="O79" s="109"/>
      <c r="P79" s="108"/>
      <c r="Q79" s="174"/>
      <c r="R79" s="174"/>
      <c r="S79" s="176"/>
      <c r="T79" s="174"/>
      <c r="U79" s="174"/>
      <c r="V79" s="362"/>
      <c r="W79" s="368"/>
      <c r="X79" s="368"/>
      <c r="Y79" s="470"/>
      <c r="AC79" s="36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68"/>
      <c r="B80" s="469"/>
      <c r="C80" s="11" t="s">
        <v>15</v>
      </c>
      <c r="D80" s="400" t="str">
        <f>(IFERROR(VLOOKUP(A80,List!$H$1:$I$2804,2,FALSE),""))</f>
        <v/>
      </c>
      <c r="E80" s="400"/>
      <c r="F80" s="400"/>
      <c r="G80" s="400"/>
      <c r="H80" s="108"/>
      <c r="I80" s="174"/>
      <c r="J80" s="174"/>
      <c r="K80" s="109"/>
      <c r="L80" s="108"/>
      <c r="M80" s="174"/>
      <c r="N80" s="174"/>
      <c r="O80" s="109"/>
      <c r="P80" s="108"/>
      <c r="Q80" s="174"/>
      <c r="R80" s="174"/>
      <c r="S80" s="176"/>
      <c r="T80" s="174"/>
      <c r="U80" s="174"/>
      <c r="V80" s="362"/>
      <c r="W80" s="368"/>
      <c r="X80" s="368"/>
      <c r="Y80" s="470"/>
      <c r="AC80" s="36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68"/>
      <c r="B81" s="469"/>
      <c r="C81" s="11" t="s">
        <v>15</v>
      </c>
      <c r="D81" s="400" t="str">
        <f>(IFERROR(VLOOKUP(A81,List!$H$1:$I$2804,2,FALSE),""))</f>
        <v/>
      </c>
      <c r="E81" s="400"/>
      <c r="F81" s="400"/>
      <c r="G81" s="400"/>
      <c r="H81" s="108"/>
      <c r="I81" s="174"/>
      <c r="J81" s="174"/>
      <c r="K81" s="109"/>
      <c r="L81" s="108"/>
      <c r="M81" s="174"/>
      <c r="N81" s="174"/>
      <c r="O81" s="109"/>
      <c r="P81" s="108"/>
      <c r="Q81" s="174"/>
      <c r="R81" s="174"/>
      <c r="S81" s="176"/>
      <c r="T81" s="174"/>
      <c r="U81" s="174"/>
      <c r="V81" s="362"/>
      <c r="W81" s="368"/>
      <c r="X81" s="368"/>
      <c r="Y81" s="470"/>
      <c r="AC81" s="36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68"/>
      <c r="B82" s="469"/>
      <c r="C82" s="11" t="s">
        <v>15</v>
      </c>
      <c r="D82" s="400" t="str">
        <f>(IFERROR(VLOOKUP(A82,List!$H$1:$I$2804,2,FALSE),""))</f>
        <v/>
      </c>
      <c r="E82" s="400"/>
      <c r="F82" s="400"/>
      <c r="G82" s="400"/>
      <c r="H82" s="108"/>
      <c r="I82" s="174"/>
      <c r="J82" s="174"/>
      <c r="K82" s="109"/>
      <c r="L82" s="108"/>
      <c r="M82" s="174"/>
      <c r="N82" s="174"/>
      <c r="O82" s="109"/>
      <c r="P82" s="108"/>
      <c r="Q82" s="174"/>
      <c r="R82" s="174"/>
      <c r="S82" s="176"/>
      <c r="T82" s="174"/>
      <c r="U82" s="174"/>
      <c r="V82" s="362"/>
      <c r="W82" s="368"/>
      <c r="X82" s="368"/>
      <c r="Y82" s="470"/>
      <c r="AC82" s="36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68"/>
      <c r="B83" s="469"/>
      <c r="C83" s="11" t="s">
        <v>15</v>
      </c>
      <c r="D83" s="400" t="str">
        <f>(IFERROR(VLOOKUP(A83,List!$H$1:$I$2804,2,FALSE),""))</f>
        <v/>
      </c>
      <c r="E83" s="400"/>
      <c r="F83" s="400"/>
      <c r="G83" s="400"/>
      <c r="H83" s="108"/>
      <c r="I83" s="174"/>
      <c r="J83" s="174"/>
      <c r="K83" s="109"/>
      <c r="L83" s="108"/>
      <c r="M83" s="174"/>
      <c r="N83" s="174"/>
      <c r="O83" s="109"/>
      <c r="P83" s="108"/>
      <c r="Q83" s="174"/>
      <c r="R83" s="174"/>
      <c r="S83" s="176"/>
      <c r="T83" s="174"/>
      <c r="U83" s="174"/>
      <c r="V83" s="362"/>
      <c r="W83" s="368"/>
      <c r="X83" s="368"/>
      <c r="Y83" s="470"/>
      <c r="AC83" s="36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68"/>
      <c r="B84" s="469"/>
      <c r="C84" s="11" t="s">
        <v>15</v>
      </c>
      <c r="D84" s="400" t="str">
        <f>(IFERROR(VLOOKUP(A84,List!$H$1:$I$2804,2,FALSE),""))</f>
        <v/>
      </c>
      <c r="E84" s="400"/>
      <c r="F84" s="400"/>
      <c r="G84" s="400"/>
      <c r="H84" s="108"/>
      <c r="I84" s="174"/>
      <c r="J84" s="174"/>
      <c r="K84" s="109"/>
      <c r="L84" s="108"/>
      <c r="M84" s="174"/>
      <c r="N84" s="174"/>
      <c r="O84" s="109"/>
      <c r="P84" s="108"/>
      <c r="Q84" s="174"/>
      <c r="R84" s="174"/>
      <c r="S84" s="176"/>
      <c r="T84" s="174"/>
      <c r="U84" s="174"/>
      <c r="V84" s="362"/>
      <c r="W84" s="368"/>
      <c r="X84" s="368"/>
      <c r="Y84" s="470"/>
      <c r="AC84" s="36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68"/>
      <c r="B85" s="469"/>
      <c r="C85" s="11" t="s">
        <v>15</v>
      </c>
      <c r="D85" s="471" t="str">
        <f>(IFERROR(VLOOKUP(A85,List!$H$1:$I$2804,2,FALSE),""))</f>
        <v/>
      </c>
      <c r="E85" s="472"/>
      <c r="F85" s="472"/>
      <c r="G85" s="543"/>
      <c r="H85" s="110"/>
      <c r="I85" s="102"/>
      <c r="J85" s="102"/>
      <c r="K85" s="111"/>
      <c r="L85" s="110"/>
      <c r="M85" s="102"/>
      <c r="N85" s="102"/>
      <c r="O85" s="111"/>
      <c r="P85" s="110"/>
      <c r="Q85" s="102"/>
      <c r="R85" s="102"/>
      <c r="S85" s="32"/>
      <c r="T85" s="174"/>
      <c r="U85" s="174"/>
      <c r="V85" s="544"/>
      <c r="W85" s="473"/>
      <c r="X85" s="473"/>
      <c r="Y85" s="474"/>
      <c r="AC85" s="36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4"/>
      <c r="B86" s="444"/>
      <c r="C86" s="445" t="s">
        <v>2892</v>
      </c>
      <c r="D86" s="446"/>
      <c r="E86" s="446"/>
      <c r="F86" s="446"/>
      <c r="G86" s="447"/>
      <c r="H86" s="212">
        <f>SUM(H58:H85)</f>
        <v>0</v>
      </c>
      <c r="I86" s="213">
        <f t="shared" ref="I86:S86" si="1">SUM(I58:I85)</f>
        <v>0</v>
      </c>
      <c r="J86" s="213">
        <f t="shared" si="1"/>
        <v>0</v>
      </c>
      <c r="K86" s="214">
        <f t="shared" si="1"/>
        <v>0</v>
      </c>
      <c r="L86" s="215">
        <f t="shared" si="1"/>
        <v>0</v>
      </c>
      <c r="M86" s="213">
        <f t="shared" si="1"/>
        <v>0</v>
      </c>
      <c r="N86" s="213">
        <f t="shared" si="1"/>
        <v>0</v>
      </c>
      <c r="O86" s="214">
        <f t="shared" si="1"/>
        <v>0</v>
      </c>
      <c r="P86" s="216">
        <f t="shared" si="1"/>
        <v>52</v>
      </c>
      <c r="Q86" s="116">
        <f t="shared" si="1"/>
        <v>32</v>
      </c>
      <c r="R86" s="116">
        <f t="shared" si="1"/>
        <v>13</v>
      </c>
      <c r="S86" s="117">
        <f t="shared" si="1"/>
        <v>0</v>
      </c>
      <c r="T86" s="30"/>
      <c r="U86" s="30"/>
      <c r="V86" s="30"/>
      <c r="W86" s="30"/>
      <c r="X86" s="115"/>
      <c r="Y86" s="112"/>
    </row>
    <row r="87" spans="1:32" ht="15.75" thickTop="1">
      <c r="A87" s="80" t="s">
        <v>2862</v>
      </c>
      <c r="B87" s="81"/>
      <c r="C87" s="113"/>
      <c r="D87" s="184"/>
      <c r="E87" s="450" t="s">
        <v>2863</v>
      </c>
      <c r="F87" s="450"/>
      <c r="G87" s="450"/>
      <c r="H87" s="559"/>
      <c r="I87" s="560"/>
      <c r="J87" s="560"/>
      <c r="K87" s="560"/>
      <c r="L87" s="560"/>
      <c r="M87" s="560"/>
      <c r="N87" s="560"/>
      <c r="O87" s="560"/>
      <c r="P87" s="561"/>
      <c r="Q87" s="450" t="s">
        <v>2899</v>
      </c>
      <c r="R87" s="450"/>
      <c r="S87" s="450"/>
      <c r="T87" s="532" t="s">
        <v>2870</v>
      </c>
      <c r="U87" s="533"/>
      <c r="V87" s="534" t="s">
        <v>2884</v>
      </c>
      <c r="W87" s="96" t="s">
        <v>2883</v>
      </c>
      <c r="X87" s="462" t="s">
        <v>2894</v>
      </c>
      <c r="Y87" s="97"/>
      <c r="AC87" s="36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65" t="s">
        <v>2864</v>
      </c>
      <c r="B88" s="66"/>
      <c r="C88" s="67"/>
      <c r="D88" s="463"/>
      <c r="E88" s="464"/>
      <c r="F88" s="464"/>
      <c r="G88" s="464"/>
      <c r="H88" s="562"/>
      <c r="I88" s="563"/>
      <c r="J88" s="563"/>
      <c r="K88" s="563"/>
      <c r="L88" s="563"/>
      <c r="M88" s="563"/>
      <c r="N88" s="563"/>
      <c r="O88" s="563"/>
      <c r="P88" s="564"/>
      <c r="Q88" s="545"/>
      <c r="R88" s="546"/>
      <c r="S88" s="546"/>
      <c r="T88" s="466"/>
      <c r="U88" s="464"/>
      <c r="V88" s="535"/>
      <c r="W88" s="98"/>
      <c r="X88" s="462"/>
      <c r="Y88" s="99"/>
      <c r="AC88" s="36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68" t="s">
        <v>2865</v>
      </c>
      <c r="B89" s="69"/>
      <c r="C89" s="66"/>
      <c r="D89" s="464"/>
      <c r="E89" s="464"/>
      <c r="F89" s="464"/>
      <c r="G89" s="464"/>
      <c r="H89" s="562"/>
      <c r="I89" s="563"/>
      <c r="J89" s="563"/>
      <c r="K89" s="563"/>
      <c r="L89" s="563"/>
      <c r="M89" s="563"/>
      <c r="N89" s="563"/>
      <c r="O89" s="563"/>
      <c r="P89" s="564"/>
      <c r="Q89" s="545"/>
      <c r="R89" s="546"/>
      <c r="S89" s="546"/>
      <c r="T89" s="464"/>
      <c r="U89" s="464"/>
      <c r="V89" s="535"/>
      <c r="W89" s="277" t="s">
        <v>3028</v>
      </c>
      <c r="X89" s="467"/>
      <c r="Y89" s="99"/>
      <c r="AC89" s="36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68" t="s">
        <v>2866</v>
      </c>
      <c r="B90" s="70"/>
      <c r="C90" s="66"/>
      <c r="D90" s="464"/>
      <c r="E90" s="464"/>
      <c r="F90" s="464"/>
      <c r="G90" s="464"/>
      <c r="H90" s="562"/>
      <c r="I90" s="563"/>
      <c r="J90" s="563"/>
      <c r="K90" s="563"/>
      <c r="L90" s="563"/>
      <c r="M90" s="563"/>
      <c r="N90" s="563"/>
      <c r="O90" s="563"/>
      <c r="P90" s="564"/>
      <c r="Q90" s="545"/>
      <c r="R90" s="546"/>
      <c r="S90" s="546"/>
      <c r="T90" s="464"/>
      <c r="U90" s="464"/>
      <c r="V90" s="535"/>
      <c r="W90" s="98"/>
      <c r="X90" s="467"/>
      <c r="Y90" s="99"/>
      <c r="AC90" s="36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20.25" customHeight="1" thickBot="1">
      <c r="A91" s="71" t="s">
        <v>2867</v>
      </c>
      <c r="B91" s="72"/>
      <c r="C91" s="73"/>
      <c r="D91" s="465"/>
      <c r="E91" s="465"/>
      <c r="F91" s="465"/>
      <c r="G91" s="465"/>
      <c r="H91" s="565"/>
      <c r="I91" s="566"/>
      <c r="J91" s="566"/>
      <c r="K91" s="566"/>
      <c r="L91" s="566"/>
      <c r="M91" s="566"/>
      <c r="N91" s="566"/>
      <c r="O91" s="566"/>
      <c r="P91" s="567"/>
      <c r="Q91" s="547"/>
      <c r="R91" s="548"/>
      <c r="S91" s="548"/>
      <c r="T91" s="465"/>
      <c r="U91" s="465"/>
      <c r="V91" s="79"/>
      <c r="W91" s="526" t="s">
        <v>3035</v>
      </c>
      <c r="X91" s="526"/>
      <c r="Y91" s="527"/>
      <c r="AC91" s="36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321" t="s">
        <v>2882</v>
      </c>
      <c r="B92" s="322"/>
      <c r="C92" s="322"/>
      <c r="D92" s="322"/>
      <c r="E92" s="322"/>
      <c r="F92" s="322"/>
      <c r="G92" s="322"/>
      <c r="H92" s="531"/>
      <c r="I92" s="531"/>
      <c r="J92" s="531"/>
      <c r="K92" s="531"/>
      <c r="L92" s="531"/>
      <c r="M92" s="531"/>
      <c r="N92" s="531"/>
      <c r="O92" s="531"/>
      <c r="P92" s="531"/>
      <c r="Q92" s="322"/>
      <c r="R92" s="322"/>
      <c r="S92" s="322"/>
      <c r="T92" s="322"/>
      <c r="U92" s="322"/>
      <c r="V92" s="322"/>
      <c r="W92" s="322"/>
      <c r="X92" s="322"/>
      <c r="Y92" s="324"/>
      <c r="AC92" s="36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165" t="s">
        <v>5</v>
      </c>
      <c r="B93" s="274">
        <v>42541</v>
      </c>
      <c r="C93" s="260"/>
      <c r="D93" s="260" t="s">
        <v>2847</v>
      </c>
      <c r="E93" s="514" t="s">
        <v>3017</v>
      </c>
      <c r="F93" s="515"/>
      <c r="G93" s="515"/>
      <c r="H93" s="515"/>
      <c r="I93" s="515"/>
      <c r="J93" s="515"/>
      <c r="K93" s="515"/>
      <c r="L93" s="515"/>
      <c r="M93" s="515"/>
      <c r="N93" s="515"/>
      <c r="O93" s="515"/>
      <c r="P93" s="515"/>
      <c r="Q93" s="515"/>
      <c r="R93" s="515"/>
      <c r="S93" s="515"/>
      <c r="T93" s="515"/>
      <c r="U93" s="515"/>
      <c r="V93" s="515"/>
      <c r="W93" s="515"/>
      <c r="X93" s="515"/>
      <c r="Y93" s="516"/>
    </row>
    <row r="94" spans="1:32" ht="16.5" thickTop="1" thickBot="1">
      <c r="A94" s="167" t="s">
        <v>10</v>
      </c>
      <c r="B94" s="56">
        <v>2</v>
      </c>
      <c r="C94" s="11" t="s">
        <v>15</v>
      </c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7"/>
      <c r="X94" s="7"/>
      <c r="Y94" s="6"/>
      <c r="AC94" s="36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165" t="s">
        <v>2873</v>
      </c>
      <c r="B95" s="10" t="s">
        <v>13</v>
      </c>
      <c r="C95" s="11" t="s">
        <v>15</v>
      </c>
      <c r="D95" s="217" t="s">
        <v>2869</v>
      </c>
      <c r="E95" s="517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41"/>
      <c r="AC95" s="36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19" t="s">
        <v>33</v>
      </c>
      <c r="B96" s="521"/>
      <c r="C96" s="521"/>
      <c r="D96" s="521"/>
      <c r="E96" s="521"/>
      <c r="F96" s="522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209" t="s">
        <v>2885</v>
      </c>
      <c r="W96" s="13"/>
      <c r="X96" s="13"/>
      <c r="Y96" s="14"/>
      <c r="AC96" s="36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07" t="s">
        <v>35</v>
      </c>
      <c r="B97" s="206" t="s">
        <v>40</v>
      </c>
      <c r="C97" s="11" t="s">
        <v>15</v>
      </c>
      <c r="D97" s="498"/>
      <c r="E97" s="499"/>
      <c r="F97" s="500"/>
      <c r="G97" s="512" t="s">
        <v>31</v>
      </c>
      <c r="H97" s="512"/>
      <c r="I97" s="512"/>
      <c r="J97" s="512"/>
      <c r="K97" s="512"/>
      <c r="L97" s="512"/>
      <c r="M97" s="512"/>
      <c r="N97" s="512"/>
      <c r="O97" s="512"/>
      <c r="P97" s="512"/>
      <c r="Q97" s="512"/>
      <c r="R97" s="512"/>
      <c r="S97" s="512"/>
      <c r="T97" s="512"/>
      <c r="U97" s="249"/>
      <c r="V97" s="489"/>
      <c r="W97" s="490"/>
      <c r="X97" s="490"/>
      <c r="Y97" s="491"/>
      <c r="AC97" s="36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08" t="s">
        <v>2889</v>
      </c>
      <c r="B98" s="206" t="s">
        <v>37</v>
      </c>
      <c r="C98" s="11" t="s">
        <v>15</v>
      </c>
      <c r="D98" s="501"/>
      <c r="E98" s="502"/>
      <c r="F98" s="503"/>
      <c r="G98" s="504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249"/>
      <c r="V98" s="492"/>
      <c r="W98" s="493"/>
      <c r="X98" s="493"/>
      <c r="Y98" s="494"/>
      <c r="AC98" s="36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508" t="s">
        <v>2871</v>
      </c>
      <c r="B99" s="510"/>
      <c r="C99" s="510"/>
      <c r="D99" s="510"/>
      <c r="E99" s="510"/>
      <c r="F99" s="510"/>
      <c r="G99" s="506"/>
      <c r="H99" s="507"/>
      <c r="I99" s="507"/>
      <c r="J99" s="507"/>
      <c r="K99" s="507"/>
      <c r="L99" s="507"/>
      <c r="M99" s="507"/>
      <c r="N99" s="507"/>
      <c r="O99" s="507"/>
      <c r="P99" s="507"/>
      <c r="Q99" s="507"/>
      <c r="R99" s="507"/>
      <c r="S99" s="507"/>
      <c r="T99" s="507"/>
      <c r="U99" s="249"/>
      <c r="V99" s="492"/>
      <c r="W99" s="493"/>
      <c r="X99" s="493"/>
      <c r="Y99" s="494"/>
      <c r="AC99" s="36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509"/>
      <c r="B100" s="511"/>
      <c r="C100" s="511"/>
      <c r="D100" s="511"/>
      <c r="E100" s="511"/>
      <c r="F100" s="511"/>
      <c r="G100" s="506"/>
      <c r="H100" s="507"/>
      <c r="I100" s="507"/>
      <c r="J100" s="507"/>
      <c r="K100" s="507"/>
      <c r="L100" s="507"/>
      <c r="M100" s="507"/>
      <c r="N100" s="507"/>
      <c r="O100" s="507"/>
      <c r="P100" s="507"/>
      <c r="Q100" s="507"/>
      <c r="R100" s="507"/>
      <c r="S100" s="507"/>
      <c r="T100" s="507"/>
      <c r="U100" s="249"/>
      <c r="V100" s="495"/>
      <c r="W100" s="496"/>
      <c r="X100" s="496"/>
      <c r="Y100" s="497"/>
      <c r="AC100" s="36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557" t="s">
        <v>2843</v>
      </c>
      <c r="B101" s="480"/>
      <c r="C101" s="480"/>
      <c r="D101" s="480"/>
      <c r="E101" s="480"/>
      <c r="F101" s="480"/>
      <c r="G101" s="558"/>
      <c r="H101" s="476" t="s">
        <v>2890</v>
      </c>
      <c r="I101" s="477"/>
      <c r="J101" s="477"/>
      <c r="K101" s="478"/>
      <c r="L101" s="476" t="s">
        <v>2891</v>
      </c>
      <c r="M101" s="477"/>
      <c r="N101" s="477"/>
      <c r="O101" s="478"/>
      <c r="P101" s="476" t="s">
        <v>2914</v>
      </c>
      <c r="Q101" s="477"/>
      <c r="R101" s="477"/>
      <c r="S101" s="478"/>
      <c r="T101" s="479"/>
      <c r="U101" s="480"/>
      <c r="V101" s="480"/>
      <c r="W101" s="480"/>
      <c r="X101" s="480"/>
      <c r="Y101" s="481"/>
    </row>
    <row r="102" spans="1:32" ht="15.75" thickBot="1">
      <c r="A102" s="482" t="s">
        <v>2872</v>
      </c>
      <c r="B102" s="483"/>
      <c r="C102" s="484"/>
      <c r="D102" s="485" t="s">
        <v>2844</v>
      </c>
      <c r="E102" s="475"/>
      <c r="F102" s="475"/>
      <c r="G102" s="536"/>
      <c r="H102" s="106" t="s">
        <v>2852</v>
      </c>
      <c r="I102" s="182" t="s">
        <v>2850</v>
      </c>
      <c r="J102" s="182" t="s">
        <v>2849</v>
      </c>
      <c r="K102" s="107" t="s">
        <v>2851</v>
      </c>
      <c r="L102" s="106" t="s">
        <v>2852</v>
      </c>
      <c r="M102" s="182" t="s">
        <v>2850</v>
      </c>
      <c r="N102" s="182" t="s">
        <v>2849</v>
      </c>
      <c r="O102" s="107" t="s">
        <v>2851</v>
      </c>
      <c r="P102" s="106" t="s">
        <v>2852</v>
      </c>
      <c r="Q102" s="182" t="s">
        <v>2850</v>
      </c>
      <c r="R102" s="182" t="s">
        <v>2849</v>
      </c>
      <c r="S102" s="107" t="s">
        <v>2851</v>
      </c>
      <c r="T102" s="74"/>
      <c r="U102" s="74"/>
      <c r="V102" s="164"/>
      <c r="W102" s="536" t="s">
        <v>2845</v>
      </c>
      <c r="X102" s="539"/>
      <c r="Y102" s="540"/>
      <c r="AC102" s="36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68" t="s">
        <v>1425</v>
      </c>
      <c r="B103" s="469"/>
      <c r="C103" s="11" t="s">
        <v>15</v>
      </c>
      <c r="D103" s="400" t="str">
        <f>(IFERROR(VLOOKUP(A103,List!$H$1:$I$2804,2,FALSE),""))</f>
        <v>FAC</v>
      </c>
      <c r="E103" s="400"/>
      <c r="F103" s="400"/>
      <c r="G103" s="400"/>
      <c r="H103" s="108"/>
      <c r="I103" s="174"/>
      <c r="J103" s="174"/>
      <c r="K103" s="109"/>
      <c r="L103" s="108"/>
      <c r="M103" s="174"/>
      <c r="N103" s="174"/>
      <c r="O103" s="109"/>
      <c r="P103" s="108"/>
      <c r="Q103" s="174"/>
      <c r="R103" s="174">
        <v>30</v>
      </c>
      <c r="S103" s="109"/>
      <c r="T103" s="174"/>
      <c r="U103" s="174"/>
      <c r="V103" s="362"/>
      <c r="W103" s="368"/>
      <c r="X103" s="368"/>
      <c r="Y103" s="470"/>
      <c r="AC103" s="36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68" t="s">
        <v>1284</v>
      </c>
      <c r="B104" s="469"/>
      <c r="C104" s="11" t="s">
        <v>15</v>
      </c>
      <c r="D104" s="400" t="str">
        <f>(IFERROR(VLOOKUP(A104,List!$H$1:$I$2804,2,FALSE),""))</f>
        <v>OBL</v>
      </c>
      <c r="E104" s="400"/>
      <c r="F104" s="400"/>
      <c r="G104" s="400"/>
      <c r="H104" s="108"/>
      <c r="I104" s="174"/>
      <c r="J104" s="174"/>
      <c r="K104" s="109"/>
      <c r="L104" s="108"/>
      <c r="M104" s="174"/>
      <c r="N104" s="174"/>
      <c r="O104" s="109"/>
      <c r="P104" s="108">
        <v>20</v>
      </c>
      <c r="Q104" s="174"/>
      <c r="R104" s="174"/>
      <c r="S104" s="109"/>
      <c r="T104" s="174"/>
      <c r="U104" s="174"/>
      <c r="V104" s="362"/>
      <c r="W104" s="368"/>
      <c r="X104" s="368"/>
      <c r="Y104" s="470"/>
      <c r="AC104" s="36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68" t="s">
        <v>166</v>
      </c>
      <c r="B105" s="469"/>
      <c r="C105" s="11" t="s">
        <v>15</v>
      </c>
      <c r="D105" s="400" t="str">
        <f>(IFERROR(VLOOKUP(A105,List!$H$1:$I$2804,2,FALSE),""))</f>
        <v>FAC</v>
      </c>
      <c r="E105" s="400"/>
      <c r="F105" s="400"/>
      <c r="G105" s="400"/>
      <c r="H105" s="108"/>
      <c r="I105" s="174"/>
      <c r="J105" s="174"/>
      <c r="K105" s="109"/>
      <c r="L105" s="108"/>
      <c r="M105" s="174"/>
      <c r="N105" s="174"/>
      <c r="O105" s="109"/>
      <c r="P105" s="108"/>
      <c r="Q105" s="174"/>
      <c r="R105" s="174">
        <v>20</v>
      </c>
      <c r="S105" s="109"/>
      <c r="T105" s="174"/>
      <c r="U105" s="174"/>
      <c r="V105" s="362"/>
      <c r="W105" s="368"/>
      <c r="X105" s="368"/>
      <c r="Y105" s="470"/>
      <c r="AC105" s="36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68" t="s">
        <v>993</v>
      </c>
      <c r="B106" s="469"/>
      <c r="C106" s="11" t="s">
        <v>15</v>
      </c>
      <c r="D106" s="400" t="str">
        <f>(IFERROR(VLOOKUP(A106,List!$H$1:$I$2804,2,FALSE),""))</f>
        <v>OBL</v>
      </c>
      <c r="E106" s="400"/>
      <c r="F106" s="400"/>
      <c r="G106" s="400"/>
      <c r="H106" s="108"/>
      <c r="I106" s="174"/>
      <c r="J106" s="174"/>
      <c r="K106" s="109"/>
      <c r="L106" s="108"/>
      <c r="M106" s="174"/>
      <c r="N106" s="174"/>
      <c r="O106" s="109"/>
      <c r="P106" s="108">
        <v>10</v>
      </c>
      <c r="Q106" s="174"/>
      <c r="R106" s="174"/>
      <c r="S106" s="109"/>
      <c r="T106" s="174"/>
      <c r="U106" s="174"/>
      <c r="V106" s="362"/>
      <c r="W106" s="368"/>
      <c r="X106" s="368"/>
      <c r="Y106" s="470"/>
      <c r="AC106" s="36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68" t="s">
        <v>2164</v>
      </c>
      <c r="B107" s="469"/>
      <c r="C107" s="11" t="s">
        <v>15</v>
      </c>
      <c r="D107" s="400" t="str">
        <f>(IFERROR(VLOOKUP(A107,List!$H$1:$I$2804,2,FALSE),""))</f>
        <v>OBL</v>
      </c>
      <c r="E107" s="400"/>
      <c r="F107" s="400"/>
      <c r="G107" s="400"/>
      <c r="H107" s="108"/>
      <c r="I107" s="174"/>
      <c r="J107" s="174"/>
      <c r="K107" s="109"/>
      <c r="L107" s="108"/>
      <c r="M107" s="174"/>
      <c r="N107" s="174"/>
      <c r="O107" s="109"/>
      <c r="P107" s="108">
        <v>8</v>
      </c>
      <c r="Q107" s="174"/>
      <c r="R107" s="174"/>
      <c r="S107" s="109"/>
      <c r="T107" s="174"/>
      <c r="U107" s="174"/>
      <c r="V107" s="362"/>
      <c r="W107" s="368"/>
      <c r="X107" s="368"/>
      <c r="Y107" s="470"/>
      <c r="AC107" s="36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68" t="s">
        <v>2067</v>
      </c>
      <c r="B108" s="469"/>
      <c r="C108" s="11" t="s">
        <v>15</v>
      </c>
      <c r="D108" s="400" t="str">
        <f>(IFERROR(VLOOKUP(A108,List!$H$1:$I$2804,2,FALSE),""))</f>
        <v>OBL</v>
      </c>
      <c r="E108" s="400"/>
      <c r="F108" s="400"/>
      <c r="G108" s="400"/>
      <c r="H108" s="108"/>
      <c r="I108" s="174"/>
      <c r="J108" s="174"/>
      <c r="K108" s="109"/>
      <c r="L108" s="108"/>
      <c r="M108" s="174"/>
      <c r="N108" s="174"/>
      <c r="O108" s="109"/>
      <c r="P108" s="108">
        <v>6</v>
      </c>
      <c r="Q108" s="174"/>
      <c r="R108" s="174"/>
      <c r="S108" s="109"/>
      <c r="T108" s="174"/>
      <c r="U108" s="174"/>
      <c r="V108" s="362"/>
      <c r="W108" s="368"/>
      <c r="X108" s="368"/>
      <c r="Y108" s="470"/>
      <c r="AC108" s="36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68" t="s">
        <v>2140</v>
      </c>
      <c r="B109" s="469"/>
      <c r="C109" s="11" t="s">
        <v>15</v>
      </c>
      <c r="D109" s="400" t="str">
        <f>(IFERROR(VLOOKUP(A109,List!$H$1:$I$2804,2,FALSE),""))</f>
        <v>FACW</v>
      </c>
      <c r="E109" s="400"/>
      <c r="F109" s="400"/>
      <c r="G109" s="400"/>
      <c r="H109" s="108"/>
      <c r="I109" s="174"/>
      <c r="J109" s="174"/>
      <c r="K109" s="109"/>
      <c r="L109" s="108"/>
      <c r="M109" s="174"/>
      <c r="N109" s="174"/>
      <c r="O109" s="109"/>
      <c r="P109" s="108"/>
      <c r="Q109" s="174">
        <v>3</v>
      </c>
      <c r="R109" s="174"/>
      <c r="S109" s="109"/>
      <c r="T109" s="174"/>
      <c r="U109" s="174"/>
      <c r="V109" s="362"/>
      <c r="W109" s="368"/>
      <c r="X109" s="368"/>
      <c r="Y109" s="470"/>
      <c r="AC109" s="36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68" t="s">
        <v>156</v>
      </c>
      <c r="B110" s="469"/>
      <c r="C110" s="11" t="s">
        <v>15</v>
      </c>
      <c r="D110" s="400" t="str">
        <f>(IFERROR(VLOOKUP(A110,List!$H$1:$I$2804,2,FALSE),""))</f>
        <v>FACW</v>
      </c>
      <c r="E110" s="400"/>
      <c r="F110" s="400"/>
      <c r="G110" s="400"/>
      <c r="H110" s="108"/>
      <c r="I110" s="174"/>
      <c r="J110" s="174"/>
      <c r="K110" s="109"/>
      <c r="L110" s="108"/>
      <c r="M110" s="174"/>
      <c r="N110" s="174"/>
      <c r="O110" s="109"/>
      <c r="P110" s="108"/>
      <c r="Q110" s="174">
        <v>3</v>
      </c>
      <c r="R110" s="174"/>
      <c r="S110" s="109"/>
      <c r="T110" s="174"/>
      <c r="U110" s="174"/>
      <c r="V110" s="362"/>
      <c r="W110" s="368"/>
      <c r="X110" s="368"/>
      <c r="Y110" s="470"/>
      <c r="AC110" s="36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68" t="s">
        <v>2175</v>
      </c>
      <c r="B111" s="469"/>
      <c r="C111" s="11" t="s">
        <v>15</v>
      </c>
      <c r="D111" s="400" t="str">
        <f>(IFERROR(VLOOKUP(A111,List!$H$1:$I$2804,2,FALSE),""))</f>
        <v>FACW</v>
      </c>
      <c r="E111" s="400"/>
      <c r="F111" s="400"/>
      <c r="G111" s="400"/>
      <c r="H111" s="108"/>
      <c r="I111" s="174"/>
      <c r="J111" s="174"/>
      <c r="K111" s="109"/>
      <c r="L111" s="108"/>
      <c r="M111" s="174"/>
      <c r="N111" s="174"/>
      <c r="O111" s="109"/>
      <c r="P111" s="108"/>
      <c r="Q111" s="174">
        <v>1</v>
      </c>
      <c r="R111" s="174"/>
      <c r="S111" s="109"/>
      <c r="T111" s="174"/>
      <c r="U111" s="174"/>
      <c r="V111" s="362"/>
      <c r="W111" s="368"/>
      <c r="X111" s="368"/>
      <c r="Y111" s="470"/>
      <c r="AC111" s="36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68" t="s">
        <v>1388</v>
      </c>
      <c r="B112" s="469"/>
      <c r="C112" s="11" t="s">
        <v>15</v>
      </c>
      <c r="D112" s="400" t="str">
        <f>(IFERROR(VLOOKUP(A112,List!$H$1:$I$2804,2,FALSE),""))</f>
        <v>FACW</v>
      </c>
      <c r="E112" s="400"/>
      <c r="F112" s="400"/>
      <c r="G112" s="400"/>
      <c r="H112" s="108"/>
      <c r="I112" s="174"/>
      <c r="J112" s="174"/>
      <c r="K112" s="109"/>
      <c r="L112" s="108"/>
      <c r="M112" s="174"/>
      <c r="N112" s="174"/>
      <c r="O112" s="109"/>
      <c r="P112" s="108"/>
      <c r="Q112" s="174">
        <v>1</v>
      </c>
      <c r="R112" s="174"/>
      <c r="S112" s="109"/>
      <c r="T112" s="174"/>
      <c r="U112" s="174"/>
      <c r="V112" s="362"/>
      <c r="W112" s="368"/>
      <c r="X112" s="368"/>
      <c r="Y112" s="470"/>
      <c r="AC112" s="36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68" t="s">
        <v>840</v>
      </c>
      <c r="B113" s="469"/>
      <c r="C113" s="11" t="s">
        <v>15</v>
      </c>
      <c r="D113" s="400" t="str">
        <f>(IFERROR(VLOOKUP(A113,List!$H$1:$I$2804,2,FALSE),""))</f>
        <v>FACW</v>
      </c>
      <c r="E113" s="400"/>
      <c r="F113" s="400"/>
      <c r="G113" s="400"/>
      <c r="H113" s="108"/>
      <c r="I113" s="174"/>
      <c r="J113" s="174"/>
      <c r="K113" s="109"/>
      <c r="L113" s="108"/>
      <c r="M113" s="174"/>
      <c r="N113" s="174"/>
      <c r="O113" s="109"/>
      <c r="P113" s="108"/>
      <c r="Q113" s="174">
        <v>1</v>
      </c>
      <c r="R113" s="174"/>
      <c r="S113" s="109"/>
      <c r="T113" s="174"/>
      <c r="U113" s="174"/>
      <c r="V113" s="362"/>
      <c r="W113" s="368"/>
      <c r="X113" s="368"/>
      <c r="Y113" s="470"/>
      <c r="AC113" s="36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68" t="s">
        <v>1300</v>
      </c>
      <c r="B114" s="469"/>
      <c r="C114" s="11" t="s">
        <v>15</v>
      </c>
      <c r="D114" s="400" t="str">
        <f>(IFERROR(VLOOKUP(A114,List!$H$1:$I$2804,2,FALSE),""))</f>
        <v>FAC</v>
      </c>
      <c r="E114" s="400"/>
      <c r="F114" s="400"/>
      <c r="G114" s="400"/>
      <c r="H114" s="108"/>
      <c r="I114" s="174"/>
      <c r="J114" s="174"/>
      <c r="K114" s="109"/>
      <c r="L114" s="108"/>
      <c r="M114" s="174"/>
      <c r="N114" s="174"/>
      <c r="O114" s="109"/>
      <c r="P114" s="108"/>
      <c r="Q114" s="174"/>
      <c r="R114" s="174">
        <v>1</v>
      </c>
      <c r="S114" s="109"/>
      <c r="T114" s="174"/>
      <c r="U114" s="174"/>
      <c r="V114" s="362"/>
      <c r="W114" s="368"/>
      <c r="X114" s="368"/>
      <c r="Y114" s="470"/>
      <c r="AC114" s="36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68" t="s">
        <v>1280</v>
      </c>
      <c r="B115" s="469"/>
      <c r="C115" s="11" t="s">
        <v>15</v>
      </c>
      <c r="D115" s="400" t="str">
        <f>(IFERROR(VLOOKUP(A115,List!$H$1:$I$2804,2,FALSE),""))</f>
        <v>FACW</v>
      </c>
      <c r="E115" s="400"/>
      <c r="F115" s="400"/>
      <c r="G115" s="400"/>
      <c r="H115" s="108"/>
      <c r="I115" s="174"/>
      <c r="J115" s="174"/>
      <c r="K115" s="109"/>
      <c r="L115" s="108"/>
      <c r="M115" s="174"/>
      <c r="N115" s="174"/>
      <c r="O115" s="109"/>
      <c r="P115" s="108"/>
      <c r="Q115" s="174">
        <v>1</v>
      </c>
      <c r="R115" s="174"/>
      <c r="S115" s="109"/>
      <c r="T115" s="174"/>
      <c r="U115" s="174"/>
      <c r="V115" s="362"/>
      <c r="W115" s="368"/>
      <c r="X115" s="368"/>
      <c r="Y115" s="470"/>
      <c r="AC115" s="36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68"/>
      <c r="B116" s="469"/>
      <c r="C116" s="11" t="s">
        <v>15</v>
      </c>
      <c r="D116" s="400" t="str">
        <f>(IFERROR(VLOOKUP(A116,List!$H$1:$I$2804,2,FALSE),""))</f>
        <v/>
      </c>
      <c r="E116" s="400"/>
      <c r="F116" s="400"/>
      <c r="G116" s="400"/>
      <c r="H116" s="108"/>
      <c r="I116" s="174"/>
      <c r="J116" s="174"/>
      <c r="K116" s="109"/>
      <c r="L116" s="108"/>
      <c r="M116" s="174"/>
      <c r="N116" s="174"/>
      <c r="O116" s="109"/>
      <c r="P116" s="108"/>
      <c r="Q116" s="174"/>
      <c r="R116" s="174"/>
      <c r="S116" s="109"/>
      <c r="T116" s="174"/>
      <c r="U116" s="174"/>
      <c r="V116" s="362"/>
      <c r="W116" s="368"/>
      <c r="X116" s="368"/>
      <c r="Y116" s="470"/>
      <c r="AC116" s="36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68"/>
      <c r="B117" s="469"/>
      <c r="C117" s="11" t="s">
        <v>15</v>
      </c>
      <c r="D117" s="400" t="str">
        <f>(IFERROR(VLOOKUP(A117,List!$H$1:$I$2804,2,FALSE),""))</f>
        <v/>
      </c>
      <c r="E117" s="400"/>
      <c r="F117" s="400"/>
      <c r="G117" s="400"/>
      <c r="H117" s="108"/>
      <c r="I117" s="174"/>
      <c r="J117" s="174"/>
      <c r="K117" s="109"/>
      <c r="L117" s="108"/>
      <c r="M117" s="174"/>
      <c r="N117" s="174"/>
      <c r="O117" s="109"/>
      <c r="P117" s="108"/>
      <c r="Q117" s="174"/>
      <c r="R117" s="174"/>
      <c r="S117" s="109"/>
      <c r="T117" s="174"/>
      <c r="U117" s="174"/>
      <c r="V117" s="362"/>
      <c r="W117" s="368"/>
      <c r="X117" s="368"/>
      <c r="Y117" s="470"/>
      <c r="AC117" s="36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68"/>
      <c r="B118" s="469"/>
      <c r="C118" s="11" t="s">
        <v>15</v>
      </c>
      <c r="D118" s="400" t="str">
        <f>(IFERROR(VLOOKUP(A118,List!$H$1:$I$2804,2,FALSE),""))</f>
        <v/>
      </c>
      <c r="E118" s="400"/>
      <c r="F118" s="400"/>
      <c r="G118" s="400"/>
      <c r="H118" s="108"/>
      <c r="I118" s="174"/>
      <c r="J118" s="174"/>
      <c r="K118" s="109"/>
      <c r="L118" s="108"/>
      <c r="M118" s="174"/>
      <c r="N118" s="174"/>
      <c r="O118" s="109"/>
      <c r="P118" s="108"/>
      <c r="Q118" s="174"/>
      <c r="R118" s="174"/>
      <c r="S118" s="109"/>
      <c r="T118" s="174"/>
      <c r="U118" s="174"/>
      <c r="V118" s="362"/>
      <c r="W118" s="368"/>
      <c r="X118" s="368"/>
      <c r="Y118" s="470"/>
      <c r="AC118" s="36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68"/>
      <c r="B119" s="469"/>
      <c r="C119" s="11" t="s">
        <v>15</v>
      </c>
      <c r="D119" s="400" t="str">
        <f>(IFERROR(VLOOKUP(A119,List!$H$1:$I$2804,2,FALSE),""))</f>
        <v/>
      </c>
      <c r="E119" s="400"/>
      <c r="F119" s="400"/>
      <c r="G119" s="400"/>
      <c r="H119" s="108"/>
      <c r="I119" s="174"/>
      <c r="J119" s="174"/>
      <c r="K119" s="109"/>
      <c r="L119" s="108"/>
      <c r="M119" s="174"/>
      <c r="N119" s="174"/>
      <c r="O119" s="109"/>
      <c r="P119" s="108"/>
      <c r="Q119" s="174"/>
      <c r="R119" s="174"/>
      <c r="S119" s="109"/>
      <c r="T119" s="174"/>
      <c r="U119" s="174"/>
      <c r="V119" s="362"/>
      <c r="W119" s="368"/>
      <c r="X119" s="368"/>
      <c r="Y119" s="470"/>
      <c r="AC119" s="36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68"/>
      <c r="B120" s="469"/>
      <c r="C120" s="11" t="s">
        <v>15</v>
      </c>
      <c r="D120" s="400" t="str">
        <f>(IFERROR(VLOOKUP(A120,List!$H$1:$I$2804,2,FALSE),""))</f>
        <v/>
      </c>
      <c r="E120" s="400"/>
      <c r="F120" s="400"/>
      <c r="G120" s="400"/>
      <c r="H120" s="108"/>
      <c r="I120" s="174"/>
      <c r="J120" s="174"/>
      <c r="K120" s="109"/>
      <c r="L120" s="108"/>
      <c r="M120" s="174"/>
      <c r="N120" s="174"/>
      <c r="O120" s="109"/>
      <c r="P120" s="108"/>
      <c r="Q120" s="174"/>
      <c r="R120" s="174"/>
      <c r="S120" s="109"/>
      <c r="T120" s="174"/>
      <c r="U120" s="174"/>
      <c r="V120" s="362"/>
      <c r="W120" s="368"/>
      <c r="X120" s="368"/>
      <c r="Y120" s="470"/>
      <c r="AC120" s="36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68"/>
      <c r="B121" s="469"/>
      <c r="C121" s="11" t="s">
        <v>15</v>
      </c>
      <c r="D121" s="400" t="str">
        <f>(IFERROR(VLOOKUP(A121,List!$H$1:$I$2804,2,FALSE),""))</f>
        <v/>
      </c>
      <c r="E121" s="400"/>
      <c r="F121" s="400"/>
      <c r="G121" s="400"/>
      <c r="H121" s="108"/>
      <c r="I121" s="174"/>
      <c r="J121" s="174"/>
      <c r="K121" s="109"/>
      <c r="L121" s="108"/>
      <c r="M121" s="174"/>
      <c r="N121" s="174"/>
      <c r="O121" s="109"/>
      <c r="P121" s="108"/>
      <c r="Q121" s="174"/>
      <c r="R121" s="174"/>
      <c r="S121" s="109"/>
      <c r="T121" s="174"/>
      <c r="U121" s="174"/>
      <c r="V121" s="362"/>
      <c r="W121" s="368"/>
      <c r="X121" s="368"/>
      <c r="Y121" s="470"/>
      <c r="AC121" s="36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68"/>
      <c r="B122" s="469"/>
      <c r="C122" s="11" t="s">
        <v>15</v>
      </c>
      <c r="D122" s="400" t="str">
        <f>(IFERROR(VLOOKUP(A122,List!$H$1:$I$2804,2,FALSE),""))</f>
        <v/>
      </c>
      <c r="E122" s="400"/>
      <c r="F122" s="400"/>
      <c r="G122" s="400"/>
      <c r="H122" s="108"/>
      <c r="I122" s="174"/>
      <c r="J122" s="174"/>
      <c r="K122" s="109"/>
      <c r="L122" s="108"/>
      <c r="M122" s="174"/>
      <c r="N122" s="174"/>
      <c r="O122" s="109"/>
      <c r="P122" s="108"/>
      <c r="Q122" s="174"/>
      <c r="R122" s="174"/>
      <c r="S122" s="109"/>
      <c r="T122" s="174"/>
      <c r="U122" s="174"/>
      <c r="V122" s="362"/>
      <c r="W122" s="368"/>
      <c r="X122" s="368"/>
      <c r="Y122" s="470"/>
      <c r="AC122" s="36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68"/>
      <c r="B123" s="469"/>
      <c r="C123" s="11" t="s">
        <v>15</v>
      </c>
      <c r="D123" s="400" t="str">
        <f>(IFERROR(VLOOKUP(A123,List!$H$1:$I$2804,2,FALSE),""))</f>
        <v/>
      </c>
      <c r="E123" s="400"/>
      <c r="F123" s="400"/>
      <c r="G123" s="400"/>
      <c r="H123" s="108"/>
      <c r="I123" s="174"/>
      <c r="J123" s="174"/>
      <c r="K123" s="109"/>
      <c r="L123" s="108"/>
      <c r="M123" s="174"/>
      <c r="N123" s="174"/>
      <c r="O123" s="109"/>
      <c r="P123" s="108"/>
      <c r="Q123" s="174"/>
      <c r="R123" s="174"/>
      <c r="S123" s="109"/>
      <c r="T123" s="174"/>
      <c r="U123" s="174"/>
      <c r="V123" s="362"/>
      <c r="W123" s="368"/>
      <c r="X123" s="368"/>
      <c r="Y123" s="470"/>
      <c r="AC123" s="36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68"/>
      <c r="B124" s="469"/>
      <c r="C124" s="11" t="s">
        <v>15</v>
      </c>
      <c r="D124" s="400" t="str">
        <f>(IFERROR(VLOOKUP(A124,List!$H$1:$I$2804,2,FALSE),""))</f>
        <v/>
      </c>
      <c r="E124" s="400"/>
      <c r="F124" s="400"/>
      <c r="G124" s="400"/>
      <c r="H124" s="108"/>
      <c r="I124" s="174"/>
      <c r="J124" s="174"/>
      <c r="K124" s="109"/>
      <c r="L124" s="108"/>
      <c r="M124" s="174"/>
      <c r="N124" s="174"/>
      <c r="O124" s="109"/>
      <c r="P124" s="108"/>
      <c r="Q124" s="174"/>
      <c r="R124" s="174"/>
      <c r="S124" s="109"/>
      <c r="T124" s="174"/>
      <c r="U124" s="174"/>
      <c r="V124" s="362"/>
      <c r="W124" s="368"/>
      <c r="X124" s="368"/>
      <c r="Y124" s="470"/>
      <c r="AC124" s="36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68"/>
      <c r="B125" s="469"/>
      <c r="C125" s="11" t="s">
        <v>15</v>
      </c>
      <c r="D125" s="400" t="str">
        <f>(IFERROR(VLOOKUP(A125,List!$H$1:$I$2804,2,FALSE),""))</f>
        <v/>
      </c>
      <c r="E125" s="400"/>
      <c r="F125" s="400"/>
      <c r="G125" s="400"/>
      <c r="H125" s="108"/>
      <c r="I125" s="174"/>
      <c r="J125" s="174"/>
      <c r="K125" s="109"/>
      <c r="L125" s="108"/>
      <c r="M125" s="174"/>
      <c r="N125" s="174"/>
      <c r="O125" s="109"/>
      <c r="P125" s="108"/>
      <c r="Q125" s="174"/>
      <c r="R125" s="174"/>
      <c r="S125" s="109"/>
      <c r="T125" s="174"/>
      <c r="U125" s="174"/>
      <c r="V125" s="362"/>
      <c r="W125" s="368"/>
      <c r="X125" s="368"/>
      <c r="Y125" s="470"/>
      <c r="AC125" s="36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68"/>
      <c r="B126" s="469"/>
      <c r="C126" s="11" t="s">
        <v>15</v>
      </c>
      <c r="D126" s="400" t="str">
        <f>(IFERROR(VLOOKUP(A126,List!$H$1:$I$2804,2,FALSE),""))</f>
        <v/>
      </c>
      <c r="E126" s="400"/>
      <c r="F126" s="400"/>
      <c r="G126" s="400"/>
      <c r="H126" s="108"/>
      <c r="I126" s="174"/>
      <c r="J126" s="174"/>
      <c r="K126" s="109"/>
      <c r="L126" s="108"/>
      <c r="M126" s="174"/>
      <c r="N126" s="174"/>
      <c r="O126" s="109"/>
      <c r="P126" s="108"/>
      <c r="Q126" s="174"/>
      <c r="R126" s="174"/>
      <c r="S126" s="109"/>
      <c r="T126" s="174"/>
      <c r="U126" s="174"/>
      <c r="V126" s="362"/>
      <c r="W126" s="368"/>
      <c r="X126" s="368"/>
      <c r="Y126" s="470"/>
      <c r="AC126" s="36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68"/>
      <c r="B127" s="469"/>
      <c r="C127" s="11" t="s">
        <v>15</v>
      </c>
      <c r="D127" s="400" t="str">
        <f>(IFERROR(VLOOKUP(A127,List!$H$1:$I$2804,2,FALSE),""))</f>
        <v/>
      </c>
      <c r="E127" s="400"/>
      <c r="F127" s="400"/>
      <c r="G127" s="400"/>
      <c r="H127" s="108"/>
      <c r="I127" s="174"/>
      <c r="J127" s="174"/>
      <c r="K127" s="109"/>
      <c r="L127" s="108"/>
      <c r="M127" s="174"/>
      <c r="N127" s="174"/>
      <c r="O127" s="109"/>
      <c r="P127" s="108"/>
      <c r="Q127" s="174"/>
      <c r="R127" s="174"/>
      <c r="S127" s="109"/>
      <c r="T127" s="174"/>
      <c r="U127" s="174"/>
      <c r="V127" s="362"/>
      <c r="W127" s="368"/>
      <c r="X127" s="368"/>
      <c r="Y127" s="470"/>
      <c r="AC127" s="36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68"/>
      <c r="B128" s="469"/>
      <c r="C128" s="11" t="s">
        <v>15</v>
      </c>
      <c r="D128" s="400" t="str">
        <f>(IFERROR(VLOOKUP(A128,List!$H$1:$I$2804,2,FALSE),""))</f>
        <v/>
      </c>
      <c r="E128" s="400"/>
      <c r="F128" s="400"/>
      <c r="G128" s="400"/>
      <c r="H128" s="108"/>
      <c r="I128" s="174"/>
      <c r="J128" s="174"/>
      <c r="K128" s="109"/>
      <c r="L128" s="108"/>
      <c r="M128" s="174"/>
      <c r="N128" s="174"/>
      <c r="O128" s="109"/>
      <c r="P128" s="108"/>
      <c r="Q128" s="174"/>
      <c r="R128" s="174"/>
      <c r="S128" s="109"/>
      <c r="T128" s="174"/>
      <c r="U128" s="174"/>
      <c r="V128" s="362"/>
      <c r="W128" s="368"/>
      <c r="X128" s="368"/>
      <c r="Y128" s="470"/>
      <c r="AC128" s="36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68"/>
      <c r="B129" s="469"/>
      <c r="C129" s="11" t="s">
        <v>15</v>
      </c>
      <c r="D129" s="400" t="str">
        <f>(IFERROR(VLOOKUP(A129,List!$H$1:$I$2804,2,FALSE),""))</f>
        <v/>
      </c>
      <c r="E129" s="400"/>
      <c r="F129" s="400"/>
      <c r="G129" s="400"/>
      <c r="H129" s="108"/>
      <c r="I129" s="174"/>
      <c r="J129" s="174"/>
      <c r="K129" s="109"/>
      <c r="L129" s="108"/>
      <c r="M129" s="174"/>
      <c r="N129" s="174"/>
      <c r="O129" s="109"/>
      <c r="P129" s="108"/>
      <c r="Q129" s="174"/>
      <c r="R129" s="174"/>
      <c r="S129" s="109"/>
      <c r="T129" s="174"/>
      <c r="U129" s="174"/>
      <c r="V129" s="362"/>
      <c r="W129" s="368"/>
      <c r="X129" s="368"/>
      <c r="Y129" s="470"/>
      <c r="AC129" s="36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68"/>
      <c r="B130" s="469"/>
      <c r="C130" s="11" t="s">
        <v>15</v>
      </c>
      <c r="D130" s="471" t="str">
        <f>(IFERROR(VLOOKUP(A130,List!$H$1:$I$2804,2,FALSE),""))</f>
        <v/>
      </c>
      <c r="E130" s="472"/>
      <c r="F130" s="472"/>
      <c r="G130" s="543"/>
      <c r="H130" s="110"/>
      <c r="I130" s="102"/>
      <c r="J130" s="102"/>
      <c r="K130" s="111"/>
      <c r="L130" s="110"/>
      <c r="M130" s="102"/>
      <c r="N130" s="102"/>
      <c r="O130" s="111"/>
      <c r="P130" s="110"/>
      <c r="Q130" s="102"/>
      <c r="R130" s="102"/>
      <c r="S130" s="111"/>
      <c r="T130" s="40"/>
      <c r="U130" s="40"/>
      <c r="V130" s="544"/>
      <c r="W130" s="473"/>
      <c r="X130" s="473"/>
      <c r="Y130" s="474"/>
      <c r="AC130" s="36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555"/>
      <c r="B131" s="555"/>
      <c r="C131" s="445" t="s">
        <v>2892</v>
      </c>
      <c r="D131" s="446"/>
      <c r="E131" s="446"/>
      <c r="F131" s="446"/>
      <c r="G131" s="447"/>
      <c r="H131" s="212">
        <f>SUM(H103:H130)</f>
        <v>0</v>
      </c>
      <c r="I131" s="213">
        <f t="shared" ref="I131:S131" si="2">SUM(I103:I130)</f>
        <v>0</v>
      </c>
      <c r="J131" s="213">
        <f t="shared" si="2"/>
        <v>0</v>
      </c>
      <c r="K131" s="214">
        <f t="shared" si="2"/>
        <v>0</v>
      </c>
      <c r="L131" s="215">
        <f t="shared" si="2"/>
        <v>0</v>
      </c>
      <c r="M131" s="213">
        <f t="shared" si="2"/>
        <v>0</v>
      </c>
      <c r="N131" s="213">
        <f t="shared" si="2"/>
        <v>0</v>
      </c>
      <c r="O131" s="214">
        <f t="shared" si="2"/>
        <v>0</v>
      </c>
      <c r="P131" s="216">
        <f t="shared" si="2"/>
        <v>44</v>
      </c>
      <c r="Q131" s="116">
        <f t="shared" si="2"/>
        <v>10</v>
      </c>
      <c r="R131" s="116">
        <f t="shared" si="2"/>
        <v>51</v>
      </c>
      <c r="S131" s="117">
        <f t="shared" si="2"/>
        <v>0</v>
      </c>
      <c r="T131" s="30"/>
      <c r="U131" s="30"/>
      <c r="V131" s="30"/>
      <c r="W131" s="30"/>
      <c r="X131" s="115"/>
      <c r="Y131" s="112"/>
    </row>
    <row r="132" spans="1:32" ht="15.75" customHeight="1" thickTop="1">
      <c r="A132" s="62" t="s">
        <v>2862</v>
      </c>
      <c r="B132" s="63"/>
      <c r="C132" s="64"/>
      <c r="D132" s="184"/>
      <c r="E132" s="450" t="s">
        <v>2863</v>
      </c>
      <c r="F132" s="450"/>
      <c r="G132" s="450"/>
      <c r="H132" s="559"/>
      <c r="I132" s="560"/>
      <c r="J132" s="560"/>
      <c r="K132" s="560"/>
      <c r="L132" s="560"/>
      <c r="M132" s="560"/>
      <c r="N132" s="560"/>
      <c r="O132" s="560"/>
      <c r="P132" s="561"/>
      <c r="Q132" s="450" t="s">
        <v>2899</v>
      </c>
      <c r="R132" s="450"/>
      <c r="S132" s="450"/>
      <c r="T132" s="184" t="s">
        <v>2870</v>
      </c>
      <c r="U132" s="185"/>
      <c r="V132" s="534" t="s">
        <v>2884</v>
      </c>
      <c r="W132" s="96" t="s">
        <v>2883</v>
      </c>
      <c r="X132" s="462" t="s">
        <v>2894</v>
      </c>
      <c r="Y132" s="97"/>
      <c r="AC132" s="36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65" t="s">
        <v>2864</v>
      </c>
      <c r="B133" s="66"/>
      <c r="C133" s="67"/>
      <c r="D133" s="463"/>
      <c r="E133" s="464"/>
      <c r="F133" s="464"/>
      <c r="G133" s="464"/>
      <c r="H133" s="562"/>
      <c r="I133" s="563"/>
      <c r="J133" s="563"/>
      <c r="K133" s="563"/>
      <c r="L133" s="563"/>
      <c r="M133" s="563"/>
      <c r="N133" s="563"/>
      <c r="O133" s="563"/>
      <c r="P133" s="564"/>
      <c r="Q133" s="546"/>
      <c r="R133" s="546"/>
      <c r="S133" s="546"/>
      <c r="T133" s="188"/>
      <c r="U133" s="188"/>
      <c r="V133" s="552"/>
      <c r="W133" s="98"/>
      <c r="X133" s="462"/>
      <c r="Y133" s="99"/>
      <c r="AC133" s="36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68" t="s">
        <v>2865</v>
      </c>
      <c r="B134" s="69"/>
      <c r="C134" s="66"/>
      <c r="D134" s="464"/>
      <c r="E134" s="464"/>
      <c r="F134" s="464"/>
      <c r="G134" s="464"/>
      <c r="H134" s="562"/>
      <c r="I134" s="563"/>
      <c r="J134" s="563"/>
      <c r="K134" s="563"/>
      <c r="L134" s="563"/>
      <c r="M134" s="563"/>
      <c r="N134" s="563"/>
      <c r="O134" s="563"/>
      <c r="P134" s="564"/>
      <c r="Q134" s="546"/>
      <c r="R134" s="546"/>
      <c r="S134" s="546"/>
      <c r="T134" s="188"/>
      <c r="U134" s="188"/>
      <c r="V134" s="552"/>
      <c r="W134" s="277" t="s">
        <v>3028</v>
      </c>
      <c r="X134" s="467"/>
      <c r="Y134" s="99"/>
      <c r="AC134" s="36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68" t="s">
        <v>2866</v>
      </c>
      <c r="B135" s="70"/>
      <c r="C135" s="66"/>
      <c r="D135" s="464"/>
      <c r="E135" s="464"/>
      <c r="F135" s="464"/>
      <c r="G135" s="464"/>
      <c r="H135" s="562"/>
      <c r="I135" s="563"/>
      <c r="J135" s="563"/>
      <c r="K135" s="563"/>
      <c r="L135" s="563"/>
      <c r="M135" s="563"/>
      <c r="N135" s="563"/>
      <c r="O135" s="563"/>
      <c r="P135" s="564"/>
      <c r="Q135" s="546"/>
      <c r="R135" s="546"/>
      <c r="S135" s="546"/>
      <c r="T135" s="188"/>
      <c r="U135" s="188"/>
      <c r="V135" s="552"/>
      <c r="W135" s="98"/>
      <c r="X135" s="467"/>
      <c r="Y135" s="99"/>
      <c r="AC135" s="36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9.5" customHeight="1" thickBot="1">
      <c r="A136" s="71" t="s">
        <v>2867</v>
      </c>
      <c r="B136" s="72"/>
      <c r="C136" s="73"/>
      <c r="D136" s="465"/>
      <c r="E136" s="465"/>
      <c r="F136" s="465"/>
      <c r="G136" s="465"/>
      <c r="H136" s="571"/>
      <c r="I136" s="572"/>
      <c r="J136" s="572"/>
      <c r="K136" s="572"/>
      <c r="L136" s="572"/>
      <c r="M136" s="572"/>
      <c r="N136" s="572"/>
      <c r="O136" s="572"/>
      <c r="P136" s="573"/>
      <c r="Q136" s="556"/>
      <c r="R136" s="556"/>
      <c r="S136" s="556"/>
      <c r="T136" s="189"/>
      <c r="U136" s="189"/>
      <c r="V136" s="82"/>
      <c r="W136" s="553" t="s">
        <v>3036</v>
      </c>
      <c r="X136" s="553"/>
      <c r="Y136" s="554"/>
      <c r="AC136" s="36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409" t="s">
        <v>2925</v>
      </c>
      <c r="B137" s="513"/>
      <c r="C137" s="513"/>
      <c r="D137" s="513"/>
      <c r="E137" s="513"/>
      <c r="F137" s="513"/>
      <c r="G137" s="513"/>
      <c r="H137" s="513"/>
      <c r="I137" s="513"/>
      <c r="J137" s="513"/>
      <c r="K137" s="513"/>
      <c r="L137" s="513"/>
      <c r="M137" s="513"/>
      <c r="N137" s="513"/>
      <c r="O137" s="513"/>
      <c r="P137" s="513"/>
      <c r="Q137" s="513"/>
      <c r="R137" s="513"/>
      <c r="S137" s="513"/>
      <c r="T137" s="513"/>
      <c r="U137" s="513"/>
      <c r="V137" s="513"/>
      <c r="W137" s="513"/>
      <c r="X137" s="513"/>
      <c r="Y137" s="513"/>
      <c r="AC137" s="36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165" t="s">
        <v>5</v>
      </c>
      <c r="B138" s="259"/>
      <c r="C138" s="260"/>
      <c r="D138" s="260" t="s">
        <v>2847</v>
      </c>
      <c r="E138" s="514"/>
      <c r="F138" s="515"/>
      <c r="G138" s="515"/>
      <c r="H138" s="515"/>
      <c r="I138" s="515"/>
      <c r="J138" s="515"/>
      <c r="K138" s="515"/>
      <c r="L138" s="515"/>
      <c r="M138" s="515"/>
      <c r="N138" s="515"/>
      <c r="O138" s="515"/>
      <c r="P138" s="515"/>
      <c r="Q138" s="515"/>
      <c r="R138" s="515"/>
      <c r="S138" s="515"/>
      <c r="T138" s="515"/>
      <c r="U138" s="515"/>
      <c r="V138" s="515"/>
      <c r="W138" s="515"/>
      <c r="X138" s="515"/>
      <c r="Y138" s="516"/>
      <c r="AC138" s="36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166" t="s">
        <v>2895</v>
      </c>
      <c r="B139" s="125"/>
      <c r="C139" s="11" t="s">
        <v>15</v>
      </c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244"/>
      <c r="X139" s="244"/>
      <c r="Y139" s="245"/>
      <c r="AC139" s="36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165" t="s">
        <v>2873</v>
      </c>
      <c r="B140" s="126"/>
      <c r="C140" s="11" t="s">
        <v>15</v>
      </c>
      <c r="D140" s="217" t="s">
        <v>2869</v>
      </c>
      <c r="E140" s="517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245"/>
      <c r="AC140" s="36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19" t="s">
        <v>33</v>
      </c>
      <c r="B141" s="520"/>
      <c r="C141" s="521"/>
      <c r="D141" s="521"/>
      <c r="E141" s="521"/>
      <c r="F141" s="522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23" t="s">
        <v>2885</v>
      </c>
      <c r="W141" s="524"/>
      <c r="X141" s="524"/>
      <c r="Y141" s="525"/>
      <c r="AC141" s="36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07" t="s">
        <v>35</v>
      </c>
      <c r="B142" s="206"/>
      <c r="C142" s="11" t="s">
        <v>15</v>
      </c>
      <c r="D142" s="498"/>
      <c r="E142" s="499"/>
      <c r="F142" s="500"/>
      <c r="G142" s="512"/>
      <c r="H142" s="512"/>
      <c r="I142" s="512"/>
      <c r="J142" s="512"/>
      <c r="K142" s="512"/>
      <c r="L142" s="512"/>
      <c r="M142" s="512"/>
      <c r="N142" s="512"/>
      <c r="O142" s="512"/>
      <c r="P142" s="512"/>
      <c r="Q142" s="512"/>
      <c r="R142" s="512"/>
      <c r="S142" s="512"/>
      <c r="T142" s="512"/>
      <c r="U142" s="249"/>
      <c r="V142" s="489"/>
      <c r="W142" s="490"/>
      <c r="X142" s="490"/>
      <c r="Y142" s="491"/>
      <c r="AC142" s="36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08" t="s">
        <v>2889</v>
      </c>
      <c r="B143" s="206"/>
      <c r="C143" s="11" t="s">
        <v>15</v>
      </c>
      <c r="D143" s="501"/>
      <c r="E143" s="502"/>
      <c r="F143" s="503"/>
      <c r="G143" s="504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249"/>
      <c r="V143" s="492"/>
      <c r="W143" s="493"/>
      <c r="X143" s="493"/>
      <c r="Y143" s="494"/>
      <c r="AC143" s="36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508" t="s">
        <v>2871</v>
      </c>
      <c r="B144" s="510"/>
      <c r="C144" s="510"/>
      <c r="D144" s="510"/>
      <c r="E144" s="510"/>
      <c r="F144" s="510"/>
      <c r="G144" s="506"/>
      <c r="H144" s="507"/>
      <c r="I144" s="507"/>
      <c r="J144" s="507"/>
      <c r="K144" s="507"/>
      <c r="L144" s="507"/>
      <c r="M144" s="507"/>
      <c r="N144" s="507"/>
      <c r="O144" s="507"/>
      <c r="P144" s="507"/>
      <c r="Q144" s="507"/>
      <c r="R144" s="507"/>
      <c r="S144" s="507"/>
      <c r="T144" s="507"/>
      <c r="U144" s="249"/>
      <c r="V144" s="492"/>
      <c r="W144" s="493"/>
      <c r="X144" s="493"/>
      <c r="Y144" s="494"/>
      <c r="AC144" s="36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509"/>
      <c r="B145" s="511"/>
      <c r="C145" s="511"/>
      <c r="D145" s="511"/>
      <c r="E145" s="511"/>
      <c r="F145" s="511"/>
      <c r="G145" s="506"/>
      <c r="H145" s="507"/>
      <c r="I145" s="507"/>
      <c r="J145" s="507"/>
      <c r="K145" s="507"/>
      <c r="L145" s="507"/>
      <c r="M145" s="507"/>
      <c r="N145" s="507"/>
      <c r="O145" s="507"/>
      <c r="P145" s="507"/>
      <c r="Q145" s="507"/>
      <c r="R145" s="507"/>
      <c r="S145" s="507"/>
      <c r="T145" s="507"/>
      <c r="U145" s="249"/>
      <c r="V145" s="495"/>
      <c r="W145" s="496"/>
      <c r="X145" s="496"/>
      <c r="Y145" s="497"/>
      <c r="AC145" s="36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05" t="s">
        <v>2843</v>
      </c>
      <c r="B146" s="475"/>
      <c r="C146" s="475"/>
      <c r="D146" s="475"/>
      <c r="E146" s="475"/>
      <c r="F146" s="475"/>
      <c r="G146" s="475"/>
      <c r="H146" s="476" t="s">
        <v>2890</v>
      </c>
      <c r="I146" s="477"/>
      <c r="J146" s="477"/>
      <c r="K146" s="478"/>
      <c r="L146" s="476" t="s">
        <v>2891</v>
      </c>
      <c r="M146" s="477"/>
      <c r="N146" s="477"/>
      <c r="O146" s="478"/>
      <c r="P146" s="476" t="s">
        <v>2914</v>
      </c>
      <c r="Q146" s="477"/>
      <c r="R146" s="477"/>
      <c r="S146" s="478"/>
      <c r="T146" s="479"/>
      <c r="U146" s="480"/>
      <c r="V146" s="480"/>
      <c r="W146" s="480"/>
      <c r="X146" s="480"/>
      <c r="Y146" s="481"/>
      <c r="AC146" s="36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82" t="s">
        <v>2872</v>
      </c>
      <c r="B147" s="483"/>
      <c r="C147" s="484"/>
      <c r="D147" s="485" t="s">
        <v>2844</v>
      </c>
      <c r="E147" s="475"/>
      <c r="F147" s="475"/>
      <c r="G147" s="475"/>
      <c r="H147" s="106" t="s">
        <v>2852</v>
      </c>
      <c r="I147" s="248" t="s">
        <v>2850</v>
      </c>
      <c r="J147" s="248" t="s">
        <v>2849</v>
      </c>
      <c r="K147" s="107" t="s">
        <v>2851</v>
      </c>
      <c r="L147" s="106" t="s">
        <v>2852</v>
      </c>
      <c r="M147" s="248" t="s">
        <v>2850</v>
      </c>
      <c r="N147" s="248" t="s">
        <v>2849</v>
      </c>
      <c r="O147" s="107" t="s">
        <v>2851</v>
      </c>
      <c r="P147" s="106" t="s">
        <v>2852</v>
      </c>
      <c r="Q147" s="248" t="s">
        <v>2850</v>
      </c>
      <c r="R147" s="248" t="s">
        <v>2849</v>
      </c>
      <c r="S147" s="107" t="s">
        <v>2851</v>
      </c>
      <c r="T147" s="104"/>
      <c r="U147" s="74"/>
      <c r="V147" s="486" t="s">
        <v>2845</v>
      </c>
      <c r="W147" s="487"/>
      <c r="X147" s="487"/>
      <c r="Y147" s="488"/>
      <c r="AC147" s="36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68"/>
      <c r="B148" s="469"/>
      <c r="C148" s="11" t="s">
        <v>15</v>
      </c>
      <c r="D148" s="400" t="str">
        <f>(IFERROR(VLOOKUP(A148,List!$H$1:$I$2804,2,FALSE),""))</f>
        <v/>
      </c>
      <c r="E148" s="400"/>
      <c r="F148" s="400"/>
      <c r="G148" s="362"/>
      <c r="H148" s="108"/>
      <c r="I148" s="229"/>
      <c r="J148" s="229"/>
      <c r="K148" s="109"/>
      <c r="L148" s="108"/>
      <c r="M148" s="229"/>
      <c r="N148" s="229"/>
      <c r="O148" s="109"/>
      <c r="P148" s="108"/>
      <c r="Q148" s="229"/>
      <c r="R148" s="229"/>
      <c r="S148" s="109"/>
      <c r="T148" s="234"/>
      <c r="U148" s="233"/>
      <c r="V148" s="368"/>
      <c r="W148" s="368"/>
      <c r="X148" s="368"/>
      <c r="Y148" s="470"/>
      <c r="AC148" s="36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68"/>
      <c r="B149" s="469"/>
      <c r="C149" s="11" t="s">
        <v>15</v>
      </c>
      <c r="D149" s="400" t="str">
        <f>(IFERROR(VLOOKUP(A149,List!$H$1:$I$2804,2,FALSE),""))</f>
        <v/>
      </c>
      <c r="E149" s="400"/>
      <c r="F149" s="400"/>
      <c r="G149" s="362"/>
      <c r="H149" s="108"/>
      <c r="I149" s="229"/>
      <c r="J149" s="229"/>
      <c r="K149" s="109"/>
      <c r="L149" s="108"/>
      <c r="M149" s="229"/>
      <c r="N149" s="229"/>
      <c r="O149" s="109"/>
      <c r="P149" s="108"/>
      <c r="Q149" s="229"/>
      <c r="R149" s="229"/>
      <c r="S149" s="109"/>
      <c r="T149" s="234"/>
      <c r="U149" s="233"/>
      <c r="V149" s="368"/>
      <c r="W149" s="368"/>
      <c r="X149" s="368"/>
      <c r="Y149" s="470"/>
      <c r="AC149" s="36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68"/>
      <c r="B150" s="469"/>
      <c r="C150" s="11" t="s">
        <v>15</v>
      </c>
      <c r="D150" s="400" t="str">
        <f>(IFERROR(VLOOKUP(A150,List!$H$1:$I$2804,2,FALSE),""))</f>
        <v/>
      </c>
      <c r="E150" s="400"/>
      <c r="F150" s="400"/>
      <c r="G150" s="362"/>
      <c r="H150" s="108"/>
      <c r="I150" s="229"/>
      <c r="J150" s="229"/>
      <c r="K150" s="109"/>
      <c r="L150" s="108"/>
      <c r="M150" s="229"/>
      <c r="N150" s="229"/>
      <c r="O150" s="109"/>
      <c r="P150" s="108"/>
      <c r="Q150" s="229"/>
      <c r="R150" s="229"/>
      <c r="S150" s="109"/>
      <c r="T150" s="234"/>
      <c r="U150" s="233"/>
      <c r="V150" s="368"/>
      <c r="W150" s="368"/>
      <c r="X150" s="368"/>
      <c r="Y150" s="470"/>
      <c r="AC150" s="36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68"/>
      <c r="B151" s="469"/>
      <c r="C151" s="11" t="s">
        <v>15</v>
      </c>
      <c r="D151" s="400" t="str">
        <f>(IFERROR(VLOOKUP(A151,List!$H$1:$I$2804,2,FALSE),""))</f>
        <v/>
      </c>
      <c r="E151" s="400"/>
      <c r="F151" s="400"/>
      <c r="G151" s="362"/>
      <c r="H151" s="108"/>
      <c r="I151" s="229"/>
      <c r="J151" s="229"/>
      <c r="K151" s="109"/>
      <c r="L151" s="108"/>
      <c r="M151" s="229"/>
      <c r="N151" s="229"/>
      <c r="O151" s="109"/>
      <c r="P151" s="108"/>
      <c r="Q151" s="229"/>
      <c r="R151" s="229"/>
      <c r="S151" s="109"/>
      <c r="T151" s="234"/>
      <c r="U151" s="233"/>
      <c r="V151" s="368"/>
      <c r="W151" s="368"/>
      <c r="X151" s="368"/>
      <c r="Y151" s="470"/>
      <c r="AC151" s="36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68"/>
      <c r="B152" s="469"/>
      <c r="C152" s="11" t="s">
        <v>15</v>
      </c>
      <c r="D152" s="400" t="str">
        <f>(IFERROR(VLOOKUP(A152,List!$H$1:$I$2804,2,FALSE),""))</f>
        <v/>
      </c>
      <c r="E152" s="400"/>
      <c r="F152" s="400"/>
      <c r="G152" s="362"/>
      <c r="H152" s="108"/>
      <c r="I152" s="229"/>
      <c r="J152" s="229"/>
      <c r="K152" s="109"/>
      <c r="L152" s="108"/>
      <c r="M152" s="229"/>
      <c r="N152" s="229"/>
      <c r="O152" s="109"/>
      <c r="P152" s="108"/>
      <c r="Q152" s="229"/>
      <c r="R152" s="229"/>
      <c r="S152" s="109"/>
      <c r="T152" s="234"/>
      <c r="U152" s="233"/>
      <c r="V152" s="368"/>
      <c r="W152" s="368"/>
      <c r="X152" s="368"/>
      <c r="Y152" s="470"/>
      <c r="AC152" s="36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68"/>
      <c r="B153" s="469"/>
      <c r="C153" s="11" t="s">
        <v>15</v>
      </c>
      <c r="D153" s="400" t="str">
        <f>(IFERROR(VLOOKUP(A153,List!$H$1:$I$2804,2,FALSE),""))</f>
        <v/>
      </c>
      <c r="E153" s="400"/>
      <c r="F153" s="400"/>
      <c r="G153" s="362"/>
      <c r="H153" s="108"/>
      <c r="I153" s="229"/>
      <c r="J153" s="229"/>
      <c r="K153" s="109"/>
      <c r="L153" s="108"/>
      <c r="M153" s="229"/>
      <c r="N153" s="229"/>
      <c r="O153" s="109"/>
      <c r="P153" s="108"/>
      <c r="Q153" s="229"/>
      <c r="R153" s="229"/>
      <c r="S153" s="109"/>
      <c r="T153" s="234"/>
      <c r="U153" s="233"/>
      <c r="V153" s="368"/>
      <c r="W153" s="368"/>
      <c r="X153" s="368"/>
      <c r="Y153" s="470"/>
      <c r="AC153" s="36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68"/>
      <c r="B154" s="469"/>
      <c r="C154" s="11" t="s">
        <v>15</v>
      </c>
      <c r="D154" s="400" t="str">
        <f>(IFERROR(VLOOKUP(A154,List!$H$1:$I$2804,2,FALSE),""))</f>
        <v/>
      </c>
      <c r="E154" s="400"/>
      <c r="F154" s="400"/>
      <c r="G154" s="362"/>
      <c r="H154" s="108"/>
      <c r="I154" s="229"/>
      <c r="J154" s="229"/>
      <c r="K154" s="109"/>
      <c r="L154" s="108"/>
      <c r="M154" s="229"/>
      <c r="N154" s="229"/>
      <c r="O154" s="109"/>
      <c r="P154" s="108"/>
      <c r="Q154" s="229"/>
      <c r="R154" s="229"/>
      <c r="S154" s="109"/>
      <c r="T154" s="234"/>
      <c r="U154" s="233"/>
      <c r="V154" s="368"/>
      <c r="W154" s="368"/>
      <c r="X154" s="368"/>
      <c r="Y154" s="470"/>
      <c r="AC154" s="36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68"/>
      <c r="B155" s="469"/>
      <c r="C155" s="11" t="s">
        <v>15</v>
      </c>
      <c r="D155" s="400" t="str">
        <f>(IFERROR(VLOOKUP(A155,List!$H$1:$I$2804,2,FALSE),""))</f>
        <v/>
      </c>
      <c r="E155" s="400"/>
      <c r="F155" s="400"/>
      <c r="G155" s="362"/>
      <c r="H155" s="108"/>
      <c r="I155" s="229"/>
      <c r="J155" s="229"/>
      <c r="K155" s="109"/>
      <c r="L155" s="108"/>
      <c r="M155" s="229"/>
      <c r="N155" s="229"/>
      <c r="O155" s="109"/>
      <c r="P155" s="108"/>
      <c r="Q155" s="229"/>
      <c r="R155" s="229"/>
      <c r="S155" s="109"/>
      <c r="T155" s="234"/>
      <c r="U155" s="233"/>
      <c r="V155" s="368"/>
      <c r="W155" s="368"/>
      <c r="X155" s="368"/>
      <c r="Y155" s="470"/>
      <c r="AC155" s="36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68"/>
      <c r="B156" s="469"/>
      <c r="C156" s="11" t="s">
        <v>15</v>
      </c>
      <c r="D156" s="400" t="str">
        <f>(IFERROR(VLOOKUP(A156,List!$H$1:$I$2804,2,FALSE),""))</f>
        <v/>
      </c>
      <c r="E156" s="400"/>
      <c r="F156" s="400"/>
      <c r="G156" s="362"/>
      <c r="H156" s="108"/>
      <c r="I156" s="229"/>
      <c r="J156" s="229"/>
      <c r="K156" s="109"/>
      <c r="L156" s="108"/>
      <c r="M156" s="229"/>
      <c r="N156" s="229"/>
      <c r="O156" s="109"/>
      <c r="P156" s="108"/>
      <c r="Q156" s="229"/>
      <c r="R156" s="229"/>
      <c r="S156" s="109"/>
      <c r="T156" s="234"/>
      <c r="U156" s="233"/>
      <c r="V156" s="368"/>
      <c r="W156" s="368"/>
      <c r="X156" s="368"/>
      <c r="Y156" s="470"/>
      <c r="AC156" s="36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68"/>
      <c r="B157" s="469"/>
      <c r="C157" s="11" t="s">
        <v>15</v>
      </c>
      <c r="D157" s="400" t="str">
        <f>(IFERROR(VLOOKUP(A157,List!$H$1:$I$2804,2,FALSE),""))</f>
        <v/>
      </c>
      <c r="E157" s="400"/>
      <c r="F157" s="400"/>
      <c r="G157" s="362"/>
      <c r="H157" s="108"/>
      <c r="I157" s="229"/>
      <c r="J157" s="229"/>
      <c r="K157" s="109"/>
      <c r="L157" s="108"/>
      <c r="M157" s="229"/>
      <c r="N157" s="229"/>
      <c r="O157" s="109"/>
      <c r="P157" s="108"/>
      <c r="Q157" s="229"/>
      <c r="R157" s="229"/>
      <c r="S157" s="109"/>
      <c r="T157" s="234"/>
      <c r="U157" s="233"/>
      <c r="V157" s="368"/>
      <c r="W157" s="368"/>
      <c r="X157" s="368"/>
      <c r="Y157" s="470"/>
      <c r="AC157" s="36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68"/>
      <c r="B158" s="469"/>
      <c r="C158" s="11" t="s">
        <v>15</v>
      </c>
      <c r="D158" s="400" t="str">
        <f>(IFERROR(VLOOKUP(A158,List!$H$1:$I$2804,2,FALSE),""))</f>
        <v/>
      </c>
      <c r="E158" s="400"/>
      <c r="F158" s="400"/>
      <c r="G158" s="362"/>
      <c r="H158" s="108"/>
      <c r="I158" s="229"/>
      <c r="J158" s="229"/>
      <c r="K158" s="109"/>
      <c r="L158" s="108"/>
      <c r="M158" s="229"/>
      <c r="N158" s="229"/>
      <c r="O158" s="109"/>
      <c r="P158" s="108"/>
      <c r="Q158" s="229"/>
      <c r="R158" s="229"/>
      <c r="S158" s="109"/>
      <c r="T158" s="234"/>
      <c r="U158" s="233"/>
      <c r="V158" s="368"/>
      <c r="W158" s="368"/>
      <c r="X158" s="368"/>
      <c r="Y158" s="470"/>
      <c r="AC158" s="36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68"/>
      <c r="B159" s="469"/>
      <c r="C159" s="11" t="s">
        <v>15</v>
      </c>
      <c r="D159" s="400" t="str">
        <f>(IFERROR(VLOOKUP(A159,List!$H$1:$I$2804,2,FALSE),""))</f>
        <v/>
      </c>
      <c r="E159" s="400"/>
      <c r="F159" s="400"/>
      <c r="G159" s="362"/>
      <c r="H159" s="108"/>
      <c r="I159" s="229"/>
      <c r="J159" s="229"/>
      <c r="K159" s="109"/>
      <c r="L159" s="108"/>
      <c r="M159" s="229"/>
      <c r="N159" s="229"/>
      <c r="O159" s="109"/>
      <c r="P159" s="108"/>
      <c r="Q159" s="229"/>
      <c r="R159" s="229"/>
      <c r="S159" s="109"/>
      <c r="T159" s="234"/>
      <c r="U159" s="233"/>
      <c r="V159" s="368"/>
      <c r="W159" s="368"/>
      <c r="X159" s="368"/>
      <c r="Y159" s="470"/>
      <c r="AC159" s="36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68"/>
      <c r="B160" s="469"/>
      <c r="C160" s="11" t="s">
        <v>15</v>
      </c>
      <c r="D160" s="400" t="str">
        <f>(IFERROR(VLOOKUP(A160,List!$H$1:$I$2804,2,FALSE),""))</f>
        <v/>
      </c>
      <c r="E160" s="400"/>
      <c r="F160" s="400"/>
      <c r="G160" s="362"/>
      <c r="H160" s="108"/>
      <c r="I160" s="229"/>
      <c r="J160" s="229"/>
      <c r="K160" s="109"/>
      <c r="L160" s="108"/>
      <c r="M160" s="229"/>
      <c r="N160" s="229"/>
      <c r="O160" s="109"/>
      <c r="P160" s="108"/>
      <c r="Q160" s="229"/>
      <c r="R160" s="229"/>
      <c r="S160" s="109"/>
      <c r="T160" s="234"/>
      <c r="U160" s="233"/>
      <c r="V160" s="368"/>
      <c r="W160" s="368"/>
      <c r="X160" s="368"/>
      <c r="Y160" s="470"/>
      <c r="AC160" s="36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68"/>
      <c r="B161" s="469"/>
      <c r="C161" s="11" t="s">
        <v>15</v>
      </c>
      <c r="D161" s="400" t="str">
        <f>(IFERROR(VLOOKUP(A161,List!$H$1:$I$2804,2,FALSE),""))</f>
        <v/>
      </c>
      <c r="E161" s="400"/>
      <c r="F161" s="400"/>
      <c r="G161" s="362"/>
      <c r="H161" s="108"/>
      <c r="I161" s="229"/>
      <c r="J161" s="229"/>
      <c r="K161" s="109"/>
      <c r="L161" s="108"/>
      <c r="M161" s="229"/>
      <c r="N161" s="229"/>
      <c r="O161" s="109"/>
      <c r="P161" s="108"/>
      <c r="Q161" s="229"/>
      <c r="R161" s="229"/>
      <c r="S161" s="109"/>
      <c r="T161" s="234"/>
      <c r="U161" s="233"/>
      <c r="V161" s="368"/>
      <c r="W161" s="368"/>
      <c r="X161" s="368"/>
      <c r="Y161" s="470"/>
      <c r="AC161" s="36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68"/>
      <c r="B162" s="469"/>
      <c r="C162" s="11" t="s">
        <v>15</v>
      </c>
      <c r="D162" s="400" t="str">
        <f>(IFERROR(VLOOKUP(A162,List!$H$1:$I$2804,2,FALSE),""))</f>
        <v/>
      </c>
      <c r="E162" s="400"/>
      <c r="F162" s="400"/>
      <c r="G162" s="362"/>
      <c r="H162" s="108"/>
      <c r="I162" s="229"/>
      <c r="J162" s="229"/>
      <c r="K162" s="109"/>
      <c r="L162" s="108"/>
      <c r="M162" s="229"/>
      <c r="N162" s="229"/>
      <c r="O162" s="109"/>
      <c r="P162" s="108"/>
      <c r="Q162" s="229"/>
      <c r="R162" s="229"/>
      <c r="S162" s="109"/>
      <c r="T162" s="234"/>
      <c r="U162" s="233"/>
      <c r="V162" s="368"/>
      <c r="W162" s="368"/>
      <c r="X162" s="368"/>
      <c r="Y162" s="470"/>
      <c r="AC162" s="36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68"/>
      <c r="B163" s="469"/>
      <c r="C163" s="11" t="s">
        <v>15</v>
      </c>
      <c r="D163" s="400" t="str">
        <f>(IFERROR(VLOOKUP(A163,List!$H$1:$I$2804,2,FALSE),""))</f>
        <v/>
      </c>
      <c r="E163" s="400"/>
      <c r="F163" s="400"/>
      <c r="G163" s="362"/>
      <c r="H163" s="108"/>
      <c r="I163" s="229"/>
      <c r="J163" s="229"/>
      <c r="K163" s="109"/>
      <c r="L163" s="108"/>
      <c r="M163" s="229"/>
      <c r="N163" s="229"/>
      <c r="O163" s="109"/>
      <c r="P163" s="108"/>
      <c r="Q163" s="229"/>
      <c r="R163" s="229"/>
      <c r="S163" s="109"/>
      <c r="T163" s="234"/>
      <c r="U163" s="233"/>
      <c r="V163" s="368"/>
      <c r="W163" s="368"/>
      <c r="X163" s="368"/>
      <c r="Y163" s="470"/>
      <c r="AC163" s="36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68"/>
      <c r="B164" s="469"/>
      <c r="C164" s="11" t="s">
        <v>15</v>
      </c>
      <c r="D164" s="400" t="str">
        <f>(IFERROR(VLOOKUP(A164,List!$H$1:$I$2804,2,FALSE),""))</f>
        <v/>
      </c>
      <c r="E164" s="400"/>
      <c r="F164" s="400"/>
      <c r="G164" s="362"/>
      <c r="H164" s="108"/>
      <c r="I164" s="229"/>
      <c r="J164" s="229"/>
      <c r="K164" s="109"/>
      <c r="L164" s="108"/>
      <c r="M164" s="229"/>
      <c r="N164" s="229"/>
      <c r="O164" s="109"/>
      <c r="P164" s="108"/>
      <c r="Q164" s="229"/>
      <c r="R164" s="229"/>
      <c r="S164" s="109"/>
      <c r="T164" s="234"/>
      <c r="U164" s="233"/>
      <c r="V164" s="368"/>
      <c r="W164" s="368"/>
      <c r="X164" s="368"/>
      <c r="Y164" s="470"/>
      <c r="AC164" s="36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68"/>
      <c r="B165" s="469"/>
      <c r="C165" s="11" t="s">
        <v>15</v>
      </c>
      <c r="D165" s="400" t="str">
        <f>(IFERROR(VLOOKUP(A165,List!$H$1:$I$2804,2,FALSE),""))</f>
        <v/>
      </c>
      <c r="E165" s="400"/>
      <c r="F165" s="400"/>
      <c r="G165" s="362"/>
      <c r="H165" s="108"/>
      <c r="I165" s="229"/>
      <c r="J165" s="229"/>
      <c r="K165" s="109"/>
      <c r="L165" s="108"/>
      <c r="M165" s="229"/>
      <c r="N165" s="229"/>
      <c r="O165" s="109"/>
      <c r="P165" s="108"/>
      <c r="Q165" s="229"/>
      <c r="R165" s="229"/>
      <c r="S165" s="109"/>
      <c r="T165" s="234"/>
      <c r="U165" s="233"/>
      <c r="V165" s="368"/>
      <c r="W165" s="368"/>
      <c r="X165" s="368"/>
      <c r="Y165" s="470"/>
      <c r="AC165" s="36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68"/>
      <c r="B166" s="469"/>
      <c r="C166" s="11" t="s">
        <v>15</v>
      </c>
      <c r="D166" s="400" t="str">
        <f>(IFERROR(VLOOKUP(A166,List!$H$1:$I$2804,2,FALSE),""))</f>
        <v/>
      </c>
      <c r="E166" s="400"/>
      <c r="F166" s="400"/>
      <c r="G166" s="362"/>
      <c r="H166" s="108"/>
      <c r="I166" s="229"/>
      <c r="J166" s="229"/>
      <c r="K166" s="109"/>
      <c r="L166" s="108"/>
      <c r="M166" s="229"/>
      <c r="N166" s="229"/>
      <c r="O166" s="109"/>
      <c r="P166" s="108"/>
      <c r="Q166" s="229"/>
      <c r="R166" s="229"/>
      <c r="S166" s="109"/>
      <c r="T166" s="234"/>
      <c r="U166" s="233"/>
      <c r="V166" s="368"/>
      <c r="W166" s="368"/>
      <c r="X166" s="368"/>
      <c r="Y166" s="470"/>
      <c r="AC166" s="36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68"/>
      <c r="B167" s="469"/>
      <c r="C167" s="11" t="s">
        <v>15</v>
      </c>
      <c r="D167" s="400" t="str">
        <f>(IFERROR(VLOOKUP(A167,List!$H$1:$I$2804,2,FALSE),""))</f>
        <v/>
      </c>
      <c r="E167" s="400"/>
      <c r="F167" s="400"/>
      <c r="G167" s="362"/>
      <c r="H167" s="108"/>
      <c r="I167" s="229"/>
      <c r="J167" s="229"/>
      <c r="K167" s="109"/>
      <c r="L167" s="108"/>
      <c r="M167" s="229"/>
      <c r="N167" s="229"/>
      <c r="O167" s="109"/>
      <c r="P167" s="108"/>
      <c r="Q167" s="229"/>
      <c r="R167" s="229"/>
      <c r="S167" s="109"/>
      <c r="T167" s="234"/>
      <c r="U167" s="233"/>
      <c r="V167" s="368"/>
      <c r="W167" s="368"/>
      <c r="X167" s="368"/>
      <c r="Y167" s="470"/>
      <c r="AC167" s="36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68"/>
      <c r="B168" s="469"/>
      <c r="C168" s="11" t="s">
        <v>15</v>
      </c>
      <c r="D168" s="400" t="str">
        <f>(IFERROR(VLOOKUP(A168,List!$H$1:$I$2804,2,FALSE),""))</f>
        <v/>
      </c>
      <c r="E168" s="400"/>
      <c r="F168" s="400"/>
      <c r="G168" s="362"/>
      <c r="H168" s="108"/>
      <c r="I168" s="229"/>
      <c r="J168" s="229"/>
      <c r="K168" s="109"/>
      <c r="L168" s="108"/>
      <c r="M168" s="229"/>
      <c r="N168" s="229"/>
      <c r="O168" s="109"/>
      <c r="P168" s="108"/>
      <c r="Q168" s="229"/>
      <c r="R168" s="229"/>
      <c r="S168" s="109"/>
      <c r="T168" s="234"/>
      <c r="U168" s="233"/>
      <c r="V168" s="368"/>
      <c r="W168" s="368"/>
      <c r="X168" s="368"/>
      <c r="Y168" s="470"/>
      <c r="AC168" s="36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68"/>
      <c r="B169" s="469"/>
      <c r="C169" s="11" t="s">
        <v>15</v>
      </c>
      <c r="D169" s="400" t="str">
        <f>(IFERROR(VLOOKUP(A169,List!$H$1:$I$2804,2,FALSE),""))</f>
        <v/>
      </c>
      <c r="E169" s="400"/>
      <c r="F169" s="400"/>
      <c r="G169" s="362"/>
      <c r="H169" s="108"/>
      <c r="I169" s="229"/>
      <c r="J169" s="229"/>
      <c r="K169" s="109"/>
      <c r="L169" s="108"/>
      <c r="M169" s="229"/>
      <c r="N169" s="229"/>
      <c r="O169" s="109"/>
      <c r="P169" s="108"/>
      <c r="Q169" s="229"/>
      <c r="R169" s="229"/>
      <c r="S169" s="109"/>
      <c r="T169" s="234"/>
      <c r="U169" s="233"/>
      <c r="V169" s="368"/>
      <c r="W169" s="368"/>
      <c r="X169" s="368"/>
      <c r="Y169" s="470"/>
      <c r="AC169" s="36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68"/>
      <c r="B170" s="469"/>
      <c r="C170" s="11" t="s">
        <v>15</v>
      </c>
      <c r="D170" s="400" t="str">
        <f>(IFERROR(VLOOKUP(A170,List!$H$1:$I$2804,2,FALSE),""))</f>
        <v/>
      </c>
      <c r="E170" s="400"/>
      <c r="F170" s="400"/>
      <c r="G170" s="362"/>
      <c r="H170" s="108"/>
      <c r="I170" s="229"/>
      <c r="J170" s="229"/>
      <c r="K170" s="109"/>
      <c r="L170" s="108"/>
      <c r="M170" s="229"/>
      <c r="N170" s="229"/>
      <c r="O170" s="109"/>
      <c r="P170" s="108"/>
      <c r="Q170" s="229"/>
      <c r="R170" s="229"/>
      <c r="S170" s="109"/>
      <c r="T170" s="234"/>
      <c r="U170" s="233"/>
      <c r="V170" s="368"/>
      <c r="W170" s="368"/>
      <c r="X170" s="368"/>
      <c r="Y170" s="470"/>
      <c r="AC170" s="36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68"/>
      <c r="B171" s="469"/>
      <c r="C171" s="11" t="s">
        <v>15</v>
      </c>
      <c r="D171" s="400" t="str">
        <f>(IFERROR(VLOOKUP(A171,List!$H$1:$I$2804,2,FALSE),""))</f>
        <v/>
      </c>
      <c r="E171" s="400"/>
      <c r="F171" s="400"/>
      <c r="G171" s="362"/>
      <c r="H171" s="108"/>
      <c r="I171" s="229"/>
      <c r="J171" s="229"/>
      <c r="K171" s="109"/>
      <c r="L171" s="108"/>
      <c r="M171" s="229"/>
      <c r="N171" s="229"/>
      <c r="O171" s="109"/>
      <c r="P171" s="108"/>
      <c r="Q171" s="229"/>
      <c r="R171" s="229"/>
      <c r="S171" s="109"/>
      <c r="T171" s="234"/>
      <c r="U171" s="233"/>
      <c r="V171" s="368"/>
      <c r="W171" s="368"/>
      <c r="X171" s="368"/>
      <c r="Y171" s="470"/>
      <c r="AC171" s="36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68"/>
      <c r="B172" s="469"/>
      <c r="C172" s="11" t="s">
        <v>15</v>
      </c>
      <c r="D172" s="400" t="str">
        <f>(IFERROR(VLOOKUP(A172,List!$H$1:$I$2804,2,FALSE),""))</f>
        <v/>
      </c>
      <c r="E172" s="400"/>
      <c r="F172" s="400"/>
      <c r="G172" s="362"/>
      <c r="H172" s="108"/>
      <c r="I172" s="229"/>
      <c r="J172" s="229"/>
      <c r="K172" s="109"/>
      <c r="L172" s="108"/>
      <c r="M172" s="229"/>
      <c r="N172" s="229"/>
      <c r="O172" s="109"/>
      <c r="P172" s="108"/>
      <c r="Q172" s="229"/>
      <c r="R172" s="229"/>
      <c r="S172" s="109"/>
      <c r="T172" s="234"/>
      <c r="U172" s="233"/>
      <c r="V172" s="368"/>
      <c r="W172" s="368"/>
      <c r="X172" s="368"/>
      <c r="Y172" s="470"/>
      <c r="AC172" s="36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68"/>
      <c r="B173" s="469"/>
      <c r="C173" s="11" t="s">
        <v>15</v>
      </c>
      <c r="D173" s="400" t="str">
        <f>(IFERROR(VLOOKUP(A173,List!$H$1:$I$2804,2,FALSE),""))</f>
        <v/>
      </c>
      <c r="E173" s="400"/>
      <c r="F173" s="400"/>
      <c r="G173" s="362"/>
      <c r="H173" s="108"/>
      <c r="I173" s="229"/>
      <c r="J173" s="229"/>
      <c r="K173" s="109"/>
      <c r="L173" s="108"/>
      <c r="M173" s="229"/>
      <c r="N173" s="229"/>
      <c r="O173" s="109"/>
      <c r="P173" s="108"/>
      <c r="Q173" s="229"/>
      <c r="R173" s="229"/>
      <c r="S173" s="109"/>
      <c r="T173" s="234"/>
      <c r="U173" s="233"/>
      <c r="V173" s="368"/>
      <c r="W173" s="368"/>
      <c r="X173" s="368"/>
      <c r="Y173" s="470"/>
      <c r="AC173" s="36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68"/>
      <c r="B174" s="469"/>
      <c r="C174" s="11" t="s">
        <v>15</v>
      </c>
      <c r="D174" s="400" t="str">
        <f>(IFERROR(VLOOKUP(A174,List!$H$1:$I$2804,2,FALSE),""))</f>
        <v/>
      </c>
      <c r="E174" s="400"/>
      <c r="F174" s="400"/>
      <c r="G174" s="362"/>
      <c r="H174" s="108"/>
      <c r="I174" s="229"/>
      <c r="J174" s="229"/>
      <c r="K174" s="109"/>
      <c r="L174" s="108"/>
      <c r="M174" s="229"/>
      <c r="N174" s="229"/>
      <c r="O174" s="109"/>
      <c r="P174" s="108"/>
      <c r="Q174" s="229"/>
      <c r="R174" s="229"/>
      <c r="S174" s="109"/>
      <c r="T174" s="234"/>
      <c r="U174" s="233"/>
      <c r="V174" s="368"/>
      <c r="W174" s="368"/>
      <c r="X174" s="368"/>
      <c r="Y174" s="470"/>
      <c r="AC174" s="36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68"/>
      <c r="B175" s="469"/>
      <c r="C175" s="11" t="s">
        <v>15</v>
      </c>
      <c r="D175" s="471" t="str">
        <f>(IFERROR(VLOOKUP(A175,List!$H$1:$I$2804,2,FALSE),""))</f>
        <v/>
      </c>
      <c r="E175" s="472"/>
      <c r="F175" s="472"/>
      <c r="G175" s="472"/>
      <c r="H175" s="110"/>
      <c r="I175" s="102"/>
      <c r="J175" s="102"/>
      <c r="K175" s="111"/>
      <c r="L175" s="110"/>
      <c r="M175" s="102"/>
      <c r="N175" s="102"/>
      <c r="O175" s="111"/>
      <c r="P175" s="110"/>
      <c r="Q175" s="102"/>
      <c r="R175" s="102"/>
      <c r="S175" s="111"/>
      <c r="T175" s="105"/>
      <c r="U175" s="240"/>
      <c r="V175" s="473"/>
      <c r="W175" s="473"/>
      <c r="X175" s="473"/>
      <c r="Y175" s="474"/>
      <c r="AC175" s="36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4"/>
      <c r="B176" s="444"/>
      <c r="C176" s="445" t="s">
        <v>2892</v>
      </c>
      <c r="D176" s="446"/>
      <c r="E176" s="446"/>
      <c r="F176" s="446"/>
      <c r="G176" s="447"/>
      <c r="H176" s="212">
        <f>SUM(H148:H175)</f>
        <v>0</v>
      </c>
      <c r="I176" s="213">
        <f t="shared" ref="I176:S176" si="3">SUM(I148:I175)</f>
        <v>0</v>
      </c>
      <c r="J176" s="213">
        <f t="shared" si="3"/>
        <v>0</v>
      </c>
      <c r="K176" s="214">
        <f t="shared" si="3"/>
        <v>0</v>
      </c>
      <c r="L176" s="215">
        <f t="shared" si="3"/>
        <v>0</v>
      </c>
      <c r="M176" s="213">
        <f t="shared" si="3"/>
        <v>0</v>
      </c>
      <c r="N176" s="213">
        <f t="shared" si="3"/>
        <v>0</v>
      </c>
      <c r="O176" s="214">
        <f t="shared" si="3"/>
        <v>0</v>
      </c>
      <c r="P176" s="216">
        <f t="shared" si="3"/>
        <v>0</v>
      </c>
      <c r="Q176" s="116">
        <f t="shared" si="3"/>
        <v>0</v>
      </c>
      <c r="R176" s="116">
        <f t="shared" si="3"/>
        <v>0</v>
      </c>
      <c r="S176" s="117">
        <f t="shared" si="3"/>
        <v>0</v>
      </c>
      <c r="T176" s="247"/>
      <c r="U176" s="247"/>
      <c r="V176" s="247"/>
      <c r="W176" s="247"/>
      <c r="X176" s="115"/>
      <c r="Y176" s="114"/>
      <c r="AC176" s="36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80" t="s">
        <v>2862</v>
      </c>
      <c r="B177" s="81"/>
      <c r="C177" s="113"/>
      <c r="D177" s="448" t="s">
        <v>2863</v>
      </c>
      <c r="E177" s="448"/>
      <c r="F177" s="448"/>
      <c r="G177" s="448"/>
      <c r="H177" s="449"/>
      <c r="I177" s="450"/>
      <c r="J177" s="450"/>
      <c r="K177" s="450"/>
      <c r="L177" s="450"/>
      <c r="M177" s="450"/>
      <c r="N177" s="450"/>
      <c r="O177" s="450"/>
      <c r="P177" s="451"/>
      <c r="Q177" s="450" t="s">
        <v>2899</v>
      </c>
      <c r="R177" s="450"/>
      <c r="S177" s="450"/>
      <c r="T177" s="458" t="s">
        <v>2870</v>
      </c>
      <c r="U177" s="459"/>
      <c r="V177" s="460"/>
      <c r="W177" s="118" t="s">
        <v>2893</v>
      </c>
      <c r="X177" s="462" t="s">
        <v>2894</v>
      </c>
      <c r="Y177" s="119"/>
      <c r="AC177" s="36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65" t="s">
        <v>2864</v>
      </c>
      <c r="B178" s="66"/>
      <c r="C178" s="67"/>
      <c r="D178" s="463"/>
      <c r="E178" s="464"/>
      <c r="F178" s="464"/>
      <c r="G178" s="464"/>
      <c r="H178" s="452"/>
      <c r="I178" s="453"/>
      <c r="J178" s="453"/>
      <c r="K178" s="453"/>
      <c r="L178" s="453"/>
      <c r="M178" s="453"/>
      <c r="N178" s="453"/>
      <c r="O178" s="453"/>
      <c r="P178" s="454"/>
      <c r="Q178" s="180"/>
      <c r="R178" s="180"/>
      <c r="S178" s="180"/>
      <c r="T178" s="466"/>
      <c r="U178" s="464"/>
      <c r="V178" s="461"/>
      <c r="W178" s="98"/>
      <c r="X178" s="462"/>
      <c r="Y178" s="120"/>
      <c r="AC178" s="36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68" t="s">
        <v>2865</v>
      </c>
      <c r="B179" s="69"/>
      <c r="C179" s="66"/>
      <c r="D179" s="464"/>
      <c r="E179" s="464"/>
      <c r="F179" s="464"/>
      <c r="G179" s="464"/>
      <c r="H179" s="452"/>
      <c r="I179" s="453"/>
      <c r="J179" s="453"/>
      <c r="K179" s="453"/>
      <c r="L179" s="453"/>
      <c r="M179" s="453"/>
      <c r="N179" s="453"/>
      <c r="O179" s="453"/>
      <c r="P179" s="454"/>
      <c r="Q179" s="180"/>
      <c r="R179" s="180"/>
      <c r="S179" s="180"/>
      <c r="T179" s="464"/>
      <c r="U179" s="464"/>
      <c r="V179" s="461"/>
      <c r="W179" s="98"/>
      <c r="X179" s="467"/>
      <c r="Y179" s="443"/>
      <c r="AC179" s="36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68" t="s">
        <v>2866</v>
      </c>
      <c r="B180" s="70"/>
      <c r="C180" s="66"/>
      <c r="D180" s="464"/>
      <c r="E180" s="464"/>
      <c r="F180" s="464"/>
      <c r="G180" s="464"/>
      <c r="H180" s="452"/>
      <c r="I180" s="453"/>
      <c r="J180" s="453"/>
      <c r="K180" s="453"/>
      <c r="L180" s="453"/>
      <c r="M180" s="453"/>
      <c r="N180" s="453"/>
      <c r="O180" s="453"/>
      <c r="P180" s="454"/>
      <c r="Q180" s="180"/>
      <c r="R180" s="180"/>
      <c r="S180" s="180"/>
      <c r="T180" s="464"/>
      <c r="U180" s="464"/>
      <c r="V180" s="241" t="s">
        <v>2884</v>
      </c>
      <c r="W180" s="98"/>
      <c r="X180" s="467"/>
      <c r="Y180" s="443"/>
      <c r="AC180" s="36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71" t="s">
        <v>2867</v>
      </c>
      <c r="B181" s="72"/>
      <c r="C181" s="73"/>
      <c r="D181" s="465"/>
      <c r="E181" s="465"/>
      <c r="F181" s="465"/>
      <c r="G181" s="465"/>
      <c r="H181" s="455"/>
      <c r="I181" s="456"/>
      <c r="J181" s="456"/>
      <c r="K181" s="456"/>
      <c r="L181" s="456"/>
      <c r="M181" s="456"/>
      <c r="N181" s="456"/>
      <c r="O181" s="456"/>
      <c r="P181" s="457"/>
      <c r="Q181" s="181"/>
      <c r="R181" s="181"/>
      <c r="S181" s="181"/>
      <c r="T181" s="465"/>
      <c r="U181" s="465"/>
      <c r="V181" s="79"/>
      <c r="W181" s="242" t="s">
        <v>2883</v>
      </c>
      <c r="X181" s="163" t="s">
        <v>6</v>
      </c>
      <c r="Y181" s="243"/>
      <c r="AC181" s="36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2934</v>
      </c>
      <c r="AC182" s="36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6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6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6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6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6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6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6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6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6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6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6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6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6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6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6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6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6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6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6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6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6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6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6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6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6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6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6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6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6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6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6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6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6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6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6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6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6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6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6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6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6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6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6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6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6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6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6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6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6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6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6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6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6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6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6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6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6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6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6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6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6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6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6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6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6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6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6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6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6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6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6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6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6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6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6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6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6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6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6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6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6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6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6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6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6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6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6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6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6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6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6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6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6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6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6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6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6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6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6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6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6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6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6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6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6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6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6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6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6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6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6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6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6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6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6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6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6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6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6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6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6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6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6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6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6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6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6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6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6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6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6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6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6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6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6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6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6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6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6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6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6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6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6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6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6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6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6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6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6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6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6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6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6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6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6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6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6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6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6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6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6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6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6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6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6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6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6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6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6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6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6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6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6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6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6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6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6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6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6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6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6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6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6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6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6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6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6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6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6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6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6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6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6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6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6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6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6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6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6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6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6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6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6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6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6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6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6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6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6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6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6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6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6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6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6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6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6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6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6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6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6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6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6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6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6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6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6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6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6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6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6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6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6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6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6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6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6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6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6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6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6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6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6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6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6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6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6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6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6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6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6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6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6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6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6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6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6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6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6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6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6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6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6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6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6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6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6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6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6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6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6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6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6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6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6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6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6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6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6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6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6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6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6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6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6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6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6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6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6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6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6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6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6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6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6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6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6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6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6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6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6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6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6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6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6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6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6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6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6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6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6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6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6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6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6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6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6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6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6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6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6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6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6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6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6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6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6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6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6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6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6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6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6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6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6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6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6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6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6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6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6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6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6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6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6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6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6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6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6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6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6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6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6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6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6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6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6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6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6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6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6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6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6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6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6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6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6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6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6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6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6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6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6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6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6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6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6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6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6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6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6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6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6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6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6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6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6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6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6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6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6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6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6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6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6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6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6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6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6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6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6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6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6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6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6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6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6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6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6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6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6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6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6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6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6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6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6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6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6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6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6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6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6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6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6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6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6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6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6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6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6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6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6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6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6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6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6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6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6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6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6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6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6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6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6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6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6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6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6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6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6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6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6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6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6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6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6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6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6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6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6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6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6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6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6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6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6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6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6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6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6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6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6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6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6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6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6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6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6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6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6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6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6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6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6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6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6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6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6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6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6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6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6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6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6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6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6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6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6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6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6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6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6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6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6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6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6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6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6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6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6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6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6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6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6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6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6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6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6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6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6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6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6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6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6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6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6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6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6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6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6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6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6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6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6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6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6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6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6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6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6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6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6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6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6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6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6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6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6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6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6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6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6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6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6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6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6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6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6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6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6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6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6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6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6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6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6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6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6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6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6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6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6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6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6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6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6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6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6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6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6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6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6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6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6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6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6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6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6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6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6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6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6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6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6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6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6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6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6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6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6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6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6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6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6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6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6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6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6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6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6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6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6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6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6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6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6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6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6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6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6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6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6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6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6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6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6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6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6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6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6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6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6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6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6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6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6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6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6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6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6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6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6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6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6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6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6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6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6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6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6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6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6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6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6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6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6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6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6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6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6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6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6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6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6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6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6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6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6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6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6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6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6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6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6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6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6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6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6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6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6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6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6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6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6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6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6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6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6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6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6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6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6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6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6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6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6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6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6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6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6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6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6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6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6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6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6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6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6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6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6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6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6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6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6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6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6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6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6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6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6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6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6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6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6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6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6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6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6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6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6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6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6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6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6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6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6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6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6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6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6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6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6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6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6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6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6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6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6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6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6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6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6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6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6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6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6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6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6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6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6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6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6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6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6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6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6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6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6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6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6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6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6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6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6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6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6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6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6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6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6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6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6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6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6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6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6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6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6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6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6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6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6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6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6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6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6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6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6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6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6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6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6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6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6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6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6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6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6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6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6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6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6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6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6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6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6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6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6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6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6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6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6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6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6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6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6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6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6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6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6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6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6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6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6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6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6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6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6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6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6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6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6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6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6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6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6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6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6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6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6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6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6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6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6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6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6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6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6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6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6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6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6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6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6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6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6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6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6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6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6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6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6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6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6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6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6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6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6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6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6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6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6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6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6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6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6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6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6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6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6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6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6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6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6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6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6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6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6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6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6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6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6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6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6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6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6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6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6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6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6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6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6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6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6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6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6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6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6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6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6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6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6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6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6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6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6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6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6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6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6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6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6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6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6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6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6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6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6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6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6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6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6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6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6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6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6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6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6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6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6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6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6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6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6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6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6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6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6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6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6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6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6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6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6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6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6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6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6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6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6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6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6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6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6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6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6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6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6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6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6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6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6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6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6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6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6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6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6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6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6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6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6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6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6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6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6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6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6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6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6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6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6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6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6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6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6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6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6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6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6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6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6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6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6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6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6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6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6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6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6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6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6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6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6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6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6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6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6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6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6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6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6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6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6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6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6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6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6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6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6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6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6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6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6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6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6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6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6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6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6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6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6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6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6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6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6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6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6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6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6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6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6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6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6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6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6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6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6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6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6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6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6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6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6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6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6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6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6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6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6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6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6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6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6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6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6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6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6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6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6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6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6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6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6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6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6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6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6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6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6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6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6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6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6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6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6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6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6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6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6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6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6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6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6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6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6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6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6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6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6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6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6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6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6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6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6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6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6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6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6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6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6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6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6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6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6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6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6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6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6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6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6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6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6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6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6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6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6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6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6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6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6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6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6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6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6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6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6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6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6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6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6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6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6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6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6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6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6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6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6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6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6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6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6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6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6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6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6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6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6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6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6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6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6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6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6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6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6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6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6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6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6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6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6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6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6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6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6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6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6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6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6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6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6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6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6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6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6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6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6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6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6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6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6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6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6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6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6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6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6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6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6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6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6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6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6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6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6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6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6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6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6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6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6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6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6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6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6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6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6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6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6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6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6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6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6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6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6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6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6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6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6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6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6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6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6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6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6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6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6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6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6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6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6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6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6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6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6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6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6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6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6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6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6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6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6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6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6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6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6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6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6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6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6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6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6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6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6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6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6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6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6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6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6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6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6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6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6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6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6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6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6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6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6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6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6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6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6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6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6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6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6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6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6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6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6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6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6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6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6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6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6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6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6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6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6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6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6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6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6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6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6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6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6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6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6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6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6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6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6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6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6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6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6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6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6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6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6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6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6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6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6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6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6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6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6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6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6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6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6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6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6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6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6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6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6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6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6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6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6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6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6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6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6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6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6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6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6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6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6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6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6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6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6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6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6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6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6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6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6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6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6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6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6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6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6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6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6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6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6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6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6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6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6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6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6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6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6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6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6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6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6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6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6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6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6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6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6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6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6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6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6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6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6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6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6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6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6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6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6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6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6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6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6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6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6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6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6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6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6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6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6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6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6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6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6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6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6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6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6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6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6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6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6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6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6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6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6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6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6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6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6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6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6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6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6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6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6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6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6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6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6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6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6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6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6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6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6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6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6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6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6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6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6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6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6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6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6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6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6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6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6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6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6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6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6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6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6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6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6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6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6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6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6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6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6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6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6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6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6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6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6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6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6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6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6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6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6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6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6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6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6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6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6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6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6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6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6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6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6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6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6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6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6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6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6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6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6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6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6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6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6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6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6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6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6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6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6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6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6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6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6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6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6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6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6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6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6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6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6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6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6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6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6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6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6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6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6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6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6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6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6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6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6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6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6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6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6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6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6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6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6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6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6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6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6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6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6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6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6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6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6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6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6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6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6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6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6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6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6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6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6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6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6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6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6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6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6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6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6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6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6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6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6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6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6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6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6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6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6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6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6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6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6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6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6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6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6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6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6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6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6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6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6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6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6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6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6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6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6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6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6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6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6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6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6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6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6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6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6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6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6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6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6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6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6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6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6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6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6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6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6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6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6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6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6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6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6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6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6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6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6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6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6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6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6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6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6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6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6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6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6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6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6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6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6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6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6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6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6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6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6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6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6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6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6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6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6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6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6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6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6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6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6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6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6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6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6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6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6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6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6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6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6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6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6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6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6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6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6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6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6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6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6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6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6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6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6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6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6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6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6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6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6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6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6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6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6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6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6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6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6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6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6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6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6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6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6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6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6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6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6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6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6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6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6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6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6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6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6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6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6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6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6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6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6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6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6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6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6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6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6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6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6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6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6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6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6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6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6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6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6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6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6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6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6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6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6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6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6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6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6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6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6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6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6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6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6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6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6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6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6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6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6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6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6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6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6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6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6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6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6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6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6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6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6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6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6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6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6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6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6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6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6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6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6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6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6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6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6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6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6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6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6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6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6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6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6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6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6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6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6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6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6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6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6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6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6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6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6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6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6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6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6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6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6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6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6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6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6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6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6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6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6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6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6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6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6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6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6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6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6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6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6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6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6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6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6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6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6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6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6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6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6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6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6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6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6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6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6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6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6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6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6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6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6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6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6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6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6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6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6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6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6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6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6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6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6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6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6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6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6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6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6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6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6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6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6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6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6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6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6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6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6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6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6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6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6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6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6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6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6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6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6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6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6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6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6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6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6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6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6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6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6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6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6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6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6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6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6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6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6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6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6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6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6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6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6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6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6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6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6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6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6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6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6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6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6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6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6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6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6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6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6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6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6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6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6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6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6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6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6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6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6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6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6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6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6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6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6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6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6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6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6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6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6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6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6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6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6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6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6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6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6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6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6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6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6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6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6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6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6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6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6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6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6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6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6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6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6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6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6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6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6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6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6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6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6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6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6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6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6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6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6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6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6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6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6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6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6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6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6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6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6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6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6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6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6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6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6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6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6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6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6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6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6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6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6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6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6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6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6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6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6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6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6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6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6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6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6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6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6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6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6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6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6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6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6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6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6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6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6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6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6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6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6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6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6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6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6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6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6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6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6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6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6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6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6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6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6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6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6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6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6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6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6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6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6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6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6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6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6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6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6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6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6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6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6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6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6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6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6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6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6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6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6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6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6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6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6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6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6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6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6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6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6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6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6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6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6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6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6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6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6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6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6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6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6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6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6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6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6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6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6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6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6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6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6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6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6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6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6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6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6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6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6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6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6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6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6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6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6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6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6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6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6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6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6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6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6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6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6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6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6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6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6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6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6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6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6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6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6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6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6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6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6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6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6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6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6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6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6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6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6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6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6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6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6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6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6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6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6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6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6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6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6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6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6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6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6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6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6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6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6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6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6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6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6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6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6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6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6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6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6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6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6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6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6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6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6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6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6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6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6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6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6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6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6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6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6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6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6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6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6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6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6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6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6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6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6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6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6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6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6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6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6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6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6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6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6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6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6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6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6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6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6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6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6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6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6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6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6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6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6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6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6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6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6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6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6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6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6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6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6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6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6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6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6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6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6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6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6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6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6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6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6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6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6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6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6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6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6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6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6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6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6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6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6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6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6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6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6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6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6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6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6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6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6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6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6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6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6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6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6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6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6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6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6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6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6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6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6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6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6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6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6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6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6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6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6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6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6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6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6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6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6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6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6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6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6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6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6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6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6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6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6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6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6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6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6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6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6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6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6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6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6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6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6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6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6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6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6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6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6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6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6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6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6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6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6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6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6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6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6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6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6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6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6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6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6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6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6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6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6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6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6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6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6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6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6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6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6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6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6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6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6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6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6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6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6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6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6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6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6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6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6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6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6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6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6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6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6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6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6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6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6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6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6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6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6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6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6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6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6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6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6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6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6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6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6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6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6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6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6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6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6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6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6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6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6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6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6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6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6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6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6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6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6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6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6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6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6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6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6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6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6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6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6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6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6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6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6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6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6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6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6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6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6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6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6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6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6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6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6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6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6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6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6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6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6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6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6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6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6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6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6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6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6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6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6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6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6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6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6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6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6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6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6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6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6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6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6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6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6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6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6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6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6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6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6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6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6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6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6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6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6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6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6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6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6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6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6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6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6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6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6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6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6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6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6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6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6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6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6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6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6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6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6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6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6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6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6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6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6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6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6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6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6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6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6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6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6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6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6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6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6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6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6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6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6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6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6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6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6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6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6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6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6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6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6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6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6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6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6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6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6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6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6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6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6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6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6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6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6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6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6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6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6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6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6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6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6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6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6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6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6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6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C1:D1"/>
    <mergeCell ref="E1:Y1"/>
    <mergeCell ref="A2:Y2"/>
    <mergeCell ref="A6:F6"/>
    <mergeCell ref="V6:Y6"/>
    <mergeCell ref="E5:Y5"/>
    <mergeCell ref="A12:C12"/>
    <mergeCell ref="D12:G12"/>
    <mergeCell ref="V12:Y12"/>
    <mergeCell ref="G7:T7"/>
    <mergeCell ref="D7:F8"/>
    <mergeCell ref="V7:Y10"/>
    <mergeCell ref="G8:T10"/>
    <mergeCell ref="A9:A10"/>
    <mergeCell ref="B9:F10"/>
    <mergeCell ref="E3:Y3"/>
    <mergeCell ref="H11:K11"/>
    <mergeCell ref="L11:O11"/>
    <mergeCell ref="P11:S11"/>
    <mergeCell ref="B11:G1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Q42:S42"/>
    <mergeCell ref="T42:U42"/>
    <mergeCell ref="X42:X43"/>
    <mergeCell ref="D43:G46"/>
    <mergeCell ref="T43:U46"/>
    <mergeCell ref="X44:X45"/>
    <mergeCell ref="A54:A55"/>
    <mergeCell ref="B54:F55"/>
    <mergeCell ref="E48:Y48"/>
    <mergeCell ref="H42:P46"/>
    <mergeCell ref="A57:C57"/>
    <mergeCell ref="D57:G57"/>
    <mergeCell ref="W57:Y57"/>
    <mergeCell ref="A58:B58"/>
    <mergeCell ref="D58:G58"/>
    <mergeCell ref="D52:F53"/>
    <mergeCell ref="G53:T55"/>
    <mergeCell ref="A47:Y47"/>
    <mergeCell ref="A51:F51"/>
    <mergeCell ref="E50:Y50"/>
    <mergeCell ref="A61:B61"/>
    <mergeCell ref="D61:G61"/>
    <mergeCell ref="A62:B62"/>
    <mergeCell ref="D62:G62"/>
    <mergeCell ref="V61:Y61"/>
    <mergeCell ref="V62:Y62"/>
    <mergeCell ref="A59:B59"/>
    <mergeCell ref="D59:G59"/>
    <mergeCell ref="A60:B60"/>
    <mergeCell ref="D60:G60"/>
    <mergeCell ref="V60:Y60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V63:Y63"/>
    <mergeCell ref="V64:Y64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92:Y92"/>
    <mergeCell ref="A96:F96"/>
    <mergeCell ref="G97:T97"/>
    <mergeCell ref="E95:Y95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X89:X90"/>
    <mergeCell ref="W91:Y91"/>
    <mergeCell ref="D97:F98"/>
    <mergeCell ref="V97:Y100"/>
    <mergeCell ref="G98:T100"/>
    <mergeCell ref="A99:A100"/>
    <mergeCell ref="B99:F100"/>
    <mergeCell ref="E93:Y93"/>
    <mergeCell ref="A104:B104"/>
    <mergeCell ref="D104:G104"/>
    <mergeCell ref="A105:B105"/>
    <mergeCell ref="D105:G105"/>
    <mergeCell ref="A102:C102"/>
    <mergeCell ref="D102:G102"/>
    <mergeCell ref="W102:Y102"/>
    <mergeCell ref="A103:B103"/>
    <mergeCell ref="D103:G103"/>
    <mergeCell ref="V103:Y103"/>
    <mergeCell ref="V104:Y104"/>
    <mergeCell ref="V105:Y105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D133:G136"/>
    <mergeCell ref="Q133:S136"/>
    <mergeCell ref="X134:X135"/>
    <mergeCell ref="W136:Y136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H132:P136"/>
    <mergeCell ref="V19:Y19"/>
    <mergeCell ref="V20:Y20"/>
    <mergeCell ref="V21:Y21"/>
    <mergeCell ref="V22:Y22"/>
    <mergeCell ref="V23:Y23"/>
    <mergeCell ref="V24:Y24"/>
    <mergeCell ref="V13:Y13"/>
    <mergeCell ref="V14:Y14"/>
    <mergeCell ref="V15:Y15"/>
    <mergeCell ref="V16:Y16"/>
    <mergeCell ref="V17:Y17"/>
    <mergeCell ref="V18:Y18"/>
    <mergeCell ref="V33:Y33"/>
    <mergeCell ref="V34:Y34"/>
    <mergeCell ref="V35:Y35"/>
    <mergeCell ref="V36:Y36"/>
    <mergeCell ref="V25:Y25"/>
    <mergeCell ref="V26:Y26"/>
    <mergeCell ref="V27:Y27"/>
    <mergeCell ref="V28:Y28"/>
    <mergeCell ref="V29:Y29"/>
    <mergeCell ref="V30:Y30"/>
    <mergeCell ref="V31:Y31"/>
    <mergeCell ref="V32:Y32"/>
    <mergeCell ref="H87:P91"/>
    <mergeCell ref="V37:Y37"/>
    <mergeCell ref="V38:Y38"/>
    <mergeCell ref="V39:Y39"/>
    <mergeCell ref="V40:Y40"/>
    <mergeCell ref="V58:Y58"/>
    <mergeCell ref="V59:Y59"/>
    <mergeCell ref="X87:X88"/>
    <mergeCell ref="Y44:Y45"/>
    <mergeCell ref="V42:V45"/>
    <mergeCell ref="V52:Y55"/>
    <mergeCell ref="G52:T52"/>
    <mergeCell ref="A56:G56"/>
    <mergeCell ref="H56:K56"/>
    <mergeCell ref="L56:O56"/>
    <mergeCell ref="P56:S56"/>
    <mergeCell ref="T56:Y56"/>
    <mergeCell ref="A83:B83"/>
    <mergeCell ref="D83:G83"/>
    <mergeCell ref="A84:B84"/>
    <mergeCell ref="D84:G84"/>
    <mergeCell ref="V83:Y83"/>
    <mergeCell ref="V84:Y84"/>
    <mergeCell ref="A81:B81"/>
    <mergeCell ref="A137:Y137"/>
    <mergeCell ref="E138:Y13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01:G101"/>
    <mergeCell ref="H101:K101"/>
    <mergeCell ref="L101:O101"/>
    <mergeCell ref="P101:S101"/>
    <mergeCell ref="T101:Y101"/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</mergeCells>
  <dataValidations count="1">
    <dataValidation type="list" allowBlank="1" showInputMessage="1" sqref="A103:A131 A58:A86 A13:A41 A148:A176" xr:uid="{4069AC44-CDF5-4F1A-BBC5-31982FE8A39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2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3" name="Check Box 23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4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5" name="Check Box 25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6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7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E378FE3-EADE-4CEF-9D22-578B6414ACCC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2BBEDFC7-547A-4EAE-912F-FA59122BFEBD}">
          <x14:formula1>
            <xm:f>List!$D$1:$D$3</xm:f>
          </x14:formula1>
          <xm:sqref>B53 B8 B98 B143</xm:sqref>
        </x14:dataValidation>
        <x14:dataValidation type="list" allowBlank="1" showInputMessage="1" showErrorMessage="1" xr:uid="{DE8CDA22-CEE6-42D8-A090-9021AF01948A}">
          <x14:formula1>
            <xm:f>List!$B$1:$B$3</xm:f>
          </x14:formula1>
          <xm:sqref>B52 B7 B97 B142</xm:sqref>
        </x14:dataValidation>
        <x14:dataValidation type="list" allowBlank="1" showInputMessage="1" showErrorMessage="1" xr:uid="{7CDFABD8-C458-4E54-86A7-A0CADBD39D88}">
          <x14:formula1>
            <xm:f>List!$C$1:$C$3</xm:f>
          </x14:formula1>
          <xm:sqref>B4 B49 B94 B139</xm:sqref>
        </x14:dataValidation>
        <x14:dataValidation type="list" allowBlank="1" showInputMessage="1" showErrorMessage="1" xr:uid="{FBC1520C-7C65-4808-B023-6EF3737097C4}">
          <x14:formula1>
            <xm:f>List!$E$1:$E$7</xm:f>
          </x14:formula1>
          <xm:sqref>B95 B5 B50 B140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9A57-3F79-4D71-9A76-730075E29924}">
  <sheetPr codeName="Sheet13"/>
  <dimension ref="A1:AH2800"/>
  <sheetViews>
    <sheetView zoomScaleNormal="100" zoomScalePageLayoutView="35" workbookViewId="0">
      <selection activeCell="I20" sqref="I20"/>
    </sheetView>
  </sheetViews>
  <sheetFormatPr defaultColWidth="9.140625" defaultRowHeight="15"/>
  <cols>
    <col min="1" max="1" width="26" style="20" customWidth="1"/>
    <col min="2" max="2" width="45.28515625" style="20" customWidth="1"/>
    <col min="3" max="3" width="3.140625" style="20" customWidth="1"/>
    <col min="4" max="4" width="12.140625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8.28515625" style="20" customWidth="1"/>
    <col min="20" max="20" width="0.140625" style="20" customWidth="1"/>
    <col min="21" max="21" width="3.5703125" style="20" hidden="1" customWidth="1"/>
    <col min="22" max="22" width="3.28515625" style="20" hidden="1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6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91" t="s">
        <v>2886</v>
      </c>
      <c r="B1" s="177">
        <f>Hydrological!B1</f>
        <v>6</v>
      </c>
      <c r="C1" s="318" t="s">
        <v>2879</v>
      </c>
      <c r="D1" s="319"/>
      <c r="E1" s="307" t="str">
        <f>Hydrological!G1</f>
        <v>Bull Creek North</v>
      </c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8"/>
    </row>
    <row r="2" spans="1:34" ht="75" customHeight="1" thickTop="1" thickBot="1">
      <c r="A2" s="409" t="s">
        <v>2880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AB2" s="20">
        <f ca="1">CELL("contents")</f>
        <v>0</v>
      </c>
      <c r="AE2" s="20">
        <f ca="1">COUNTIF(AF4:AF2800,"?*")</f>
        <v>0</v>
      </c>
    </row>
    <row r="3" spans="1:34" ht="19.5" customHeight="1" thickTop="1" thickBot="1">
      <c r="A3" s="165" t="s">
        <v>5</v>
      </c>
      <c r="B3" s="274">
        <v>42541</v>
      </c>
      <c r="C3" s="260"/>
      <c r="D3" s="260" t="s">
        <v>2847</v>
      </c>
      <c r="E3" s="514" t="s">
        <v>3017</v>
      </c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515"/>
      <c r="Q3" s="515"/>
      <c r="R3" s="515"/>
      <c r="S3" s="515"/>
      <c r="T3" s="515"/>
      <c r="U3" s="515"/>
      <c r="V3" s="515"/>
      <c r="W3" s="515"/>
      <c r="X3" s="515"/>
      <c r="Y3" s="516"/>
    </row>
    <row r="4" spans="1:34" ht="16.5" thickTop="1" thickBot="1">
      <c r="A4" s="166" t="s">
        <v>2895</v>
      </c>
      <c r="B4" s="125">
        <v>3</v>
      </c>
      <c r="C4" s="11" t="s">
        <v>15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7"/>
      <c r="X4" s="7"/>
      <c r="Y4" s="6"/>
      <c r="AC4" s="36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65" t="s">
        <v>2873</v>
      </c>
      <c r="B5" s="126" t="s">
        <v>2898</v>
      </c>
      <c r="C5" s="11" t="s">
        <v>15</v>
      </c>
      <c r="D5" s="217" t="s">
        <v>2869</v>
      </c>
      <c r="E5" s="517" t="s">
        <v>3037</v>
      </c>
      <c r="F5" s="518"/>
      <c r="G5" s="518"/>
      <c r="H5" s="518"/>
      <c r="I5" s="518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/>
      <c r="V5" s="518"/>
      <c r="W5" s="518"/>
      <c r="X5" s="518"/>
      <c r="Y5" s="541"/>
      <c r="AC5" s="36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9" t="s">
        <v>33</v>
      </c>
      <c r="B6" s="520"/>
      <c r="C6" s="521"/>
      <c r="D6" s="521"/>
      <c r="E6" s="521"/>
      <c r="F6" s="522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23" t="s">
        <v>2885</v>
      </c>
      <c r="W6" s="524"/>
      <c r="X6" s="524"/>
      <c r="Y6" s="525"/>
      <c r="AB6" s="36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07" t="s">
        <v>35</v>
      </c>
      <c r="B7" s="206"/>
      <c r="C7" s="11" t="s">
        <v>15</v>
      </c>
      <c r="D7" s="498"/>
      <c r="E7" s="499"/>
      <c r="F7" s="500"/>
      <c r="G7" s="512" t="s">
        <v>31</v>
      </c>
      <c r="H7" s="512"/>
      <c r="I7" s="512"/>
      <c r="J7" s="512"/>
      <c r="K7" s="512"/>
      <c r="L7" s="512"/>
      <c r="M7" s="512"/>
      <c r="N7" s="512"/>
      <c r="O7" s="512"/>
      <c r="P7" s="512"/>
      <c r="Q7" s="512"/>
      <c r="R7" s="512"/>
      <c r="S7" s="512"/>
      <c r="T7" s="512"/>
      <c r="U7" s="249"/>
      <c r="V7" s="489"/>
      <c r="W7" s="490"/>
      <c r="X7" s="490"/>
      <c r="Y7" s="491"/>
      <c r="AC7" s="36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08" t="s">
        <v>2889</v>
      </c>
      <c r="B8" s="206" t="s">
        <v>37</v>
      </c>
      <c r="C8" s="11" t="s">
        <v>15</v>
      </c>
      <c r="D8" s="501"/>
      <c r="E8" s="502"/>
      <c r="F8" s="503"/>
      <c r="G8" s="504"/>
      <c r="H8" s="505"/>
      <c r="I8" s="505"/>
      <c r="J8" s="505"/>
      <c r="K8" s="505"/>
      <c r="L8" s="505"/>
      <c r="M8" s="505"/>
      <c r="N8" s="505"/>
      <c r="O8" s="505"/>
      <c r="P8" s="505"/>
      <c r="Q8" s="505"/>
      <c r="R8" s="505"/>
      <c r="S8" s="505"/>
      <c r="T8" s="505"/>
      <c r="U8" s="249"/>
      <c r="V8" s="492"/>
      <c r="W8" s="493"/>
      <c r="X8" s="493"/>
      <c r="Y8" s="494"/>
      <c r="AC8" s="36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508" t="s">
        <v>2871</v>
      </c>
      <c r="B9" s="493" t="s">
        <v>3041</v>
      </c>
      <c r="C9" s="493"/>
      <c r="D9" s="493"/>
      <c r="E9" s="493"/>
      <c r="F9" s="493"/>
      <c r="G9" s="506"/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249"/>
      <c r="V9" s="492"/>
      <c r="W9" s="493"/>
      <c r="X9" s="493"/>
      <c r="Y9" s="494"/>
      <c r="AC9" s="36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509"/>
      <c r="B10" s="496"/>
      <c r="C10" s="496"/>
      <c r="D10" s="496"/>
      <c r="E10" s="496"/>
      <c r="F10" s="496"/>
      <c r="G10" s="506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249"/>
      <c r="V10" s="495"/>
      <c r="W10" s="496"/>
      <c r="X10" s="496"/>
      <c r="Y10" s="497"/>
      <c r="AC10" s="36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557" t="s">
        <v>2843</v>
      </c>
      <c r="B11" s="480"/>
      <c r="C11" s="480"/>
      <c r="D11" s="480"/>
      <c r="E11" s="480"/>
      <c r="F11" s="480"/>
      <c r="G11" s="558"/>
      <c r="H11" s="476" t="s">
        <v>2890</v>
      </c>
      <c r="I11" s="477"/>
      <c r="J11" s="477"/>
      <c r="K11" s="478"/>
      <c r="L11" s="476" t="s">
        <v>2891</v>
      </c>
      <c r="M11" s="477"/>
      <c r="N11" s="477"/>
      <c r="O11" s="478"/>
      <c r="P11" s="476" t="s">
        <v>2914</v>
      </c>
      <c r="Q11" s="477"/>
      <c r="R11" s="477"/>
      <c r="S11" s="478"/>
      <c r="T11" s="479"/>
      <c r="U11" s="480"/>
      <c r="V11" s="480"/>
      <c r="W11" s="480"/>
      <c r="X11" s="480"/>
      <c r="Y11" s="481"/>
    </row>
    <row r="12" spans="1:34" ht="21" customHeight="1" thickBot="1">
      <c r="A12" s="482" t="s">
        <v>2872</v>
      </c>
      <c r="B12" s="483"/>
      <c r="C12" s="484"/>
      <c r="D12" s="485" t="s">
        <v>2844</v>
      </c>
      <c r="E12" s="475"/>
      <c r="F12" s="475"/>
      <c r="G12" s="475"/>
      <c r="H12" s="106" t="s">
        <v>2852</v>
      </c>
      <c r="I12" s="182" t="s">
        <v>2850</v>
      </c>
      <c r="J12" s="182" t="s">
        <v>2849</v>
      </c>
      <c r="K12" s="107" t="s">
        <v>2851</v>
      </c>
      <c r="L12" s="106" t="s">
        <v>2852</v>
      </c>
      <c r="M12" s="182" t="s">
        <v>2850</v>
      </c>
      <c r="N12" s="182" t="s">
        <v>2849</v>
      </c>
      <c r="O12" s="107" t="s">
        <v>2851</v>
      </c>
      <c r="P12" s="106" t="s">
        <v>2852</v>
      </c>
      <c r="Q12" s="182" t="s">
        <v>2850</v>
      </c>
      <c r="R12" s="182" t="s">
        <v>2849</v>
      </c>
      <c r="S12" s="107" t="s">
        <v>2851</v>
      </c>
      <c r="T12" s="104"/>
      <c r="U12" s="74"/>
      <c r="V12" s="486" t="s">
        <v>2845</v>
      </c>
      <c r="W12" s="487"/>
      <c r="X12" s="487"/>
      <c r="Y12" s="488"/>
      <c r="AC12" s="36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6"/>
    </row>
    <row r="13" spans="1:34" ht="16.5" customHeight="1" thickTop="1" thickBot="1">
      <c r="A13" s="468" t="s">
        <v>1319</v>
      </c>
      <c r="B13" s="469"/>
      <c r="C13" s="11" t="s">
        <v>15</v>
      </c>
      <c r="D13" s="400" t="str">
        <f>(IFERROR(VLOOKUP(A13,List!$H$1:$I$2804,2,FALSE),""))</f>
        <v>UL</v>
      </c>
      <c r="E13" s="400"/>
      <c r="F13" s="400"/>
      <c r="G13" s="362"/>
      <c r="H13" s="108"/>
      <c r="I13" s="174"/>
      <c r="J13" s="174"/>
      <c r="K13" s="109"/>
      <c r="L13" s="108"/>
      <c r="M13" s="174"/>
      <c r="N13" s="174"/>
      <c r="O13" s="109"/>
      <c r="P13" s="108"/>
      <c r="Q13" s="174"/>
      <c r="R13" s="174"/>
      <c r="S13" s="109">
        <v>70</v>
      </c>
      <c r="T13" s="175"/>
      <c r="U13" s="176"/>
      <c r="V13" s="569" t="s">
        <v>3039</v>
      </c>
      <c r="W13" s="569"/>
      <c r="X13" s="569"/>
      <c r="Y13" s="570"/>
      <c r="AC13" s="36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68" t="s">
        <v>2371</v>
      </c>
      <c r="B14" s="469"/>
      <c r="C14" s="11" t="s">
        <v>15</v>
      </c>
      <c r="D14" s="400" t="str">
        <f>(IFERROR(VLOOKUP(A14,List!$H$1:$I$2804,2,FALSE),""))</f>
        <v>UL</v>
      </c>
      <c r="E14" s="400"/>
      <c r="F14" s="400"/>
      <c r="G14" s="362"/>
      <c r="H14" s="108"/>
      <c r="I14" s="174"/>
      <c r="J14" s="174"/>
      <c r="K14" s="109"/>
      <c r="L14" s="108"/>
      <c r="M14" s="174"/>
      <c r="N14" s="174"/>
      <c r="O14" s="109"/>
      <c r="P14" s="108"/>
      <c r="Q14" s="174"/>
      <c r="R14" s="174"/>
      <c r="S14" s="109">
        <v>10</v>
      </c>
      <c r="T14" s="175"/>
      <c r="U14" s="176"/>
      <c r="W14" s="574" t="s">
        <v>3040</v>
      </c>
      <c r="X14" s="574"/>
      <c r="Y14" s="574"/>
      <c r="AC14" s="36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68" t="s">
        <v>2801</v>
      </c>
      <c r="B15" s="469"/>
      <c r="C15" s="11" t="s">
        <v>15</v>
      </c>
      <c r="D15" s="400" t="str">
        <f>(IFERROR(VLOOKUP(A15,List!$H$1:$I$2804,2,FALSE),""))</f>
        <v>FACW</v>
      </c>
      <c r="E15" s="400"/>
      <c r="F15" s="400"/>
      <c r="G15" s="362"/>
      <c r="H15" s="108"/>
      <c r="I15" s="174"/>
      <c r="J15" s="174"/>
      <c r="K15" s="109"/>
      <c r="L15" s="108"/>
      <c r="M15" s="174"/>
      <c r="N15" s="174"/>
      <c r="O15" s="109"/>
      <c r="P15" s="108"/>
      <c r="Q15" s="174">
        <v>3</v>
      </c>
      <c r="R15" s="174"/>
      <c r="S15" s="109"/>
      <c r="T15" s="175"/>
      <c r="U15" s="176"/>
      <c r="V15" s="368"/>
      <c r="W15" s="368"/>
      <c r="X15" s="368"/>
      <c r="Y15" s="470"/>
      <c r="AC15" s="36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68" t="s">
        <v>2810</v>
      </c>
      <c r="B16" s="469"/>
      <c r="C16" s="11" t="s">
        <v>15</v>
      </c>
      <c r="D16" s="400" t="str">
        <f>(IFERROR(VLOOKUP(A16,List!$H$1:$I$2804,2,FALSE),""))</f>
        <v>FACW</v>
      </c>
      <c r="E16" s="400"/>
      <c r="F16" s="400"/>
      <c r="G16" s="362"/>
      <c r="H16" s="108"/>
      <c r="I16" s="174"/>
      <c r="J16" s="174"/>
      <c r="K16" s="109"/>
      <c r="L16" s="108"/>
      <c r="M16" s="174"/>
      <c r="N16" s="174"/>
      <c r="O16" s="109"/>
      <c r="P16" s="108"/>
      <c r="Q16" s="174">
        <v>3</v>
      </c>
      <c r="R16" s="174"/>
      <c r="S16" s="109"/>
      <c r="T16" s="175"/>
      <c r="U16" s="176"/>
      <c r="V16" s="368"/>
      <c r="W16" s="368"/>
      <c r="X16" s="368"/>
      <c r="Y16" s="470"/>
      <c r="AC16" s="36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68" t="s">
        <v>1428</v>
      </c>
      <c r="B17" s="469"/>
      <c r="C17" s="11" t="s">
        <v>15</v>
      </c>
      <c r="D17" s="400" t="str">
        <f>(IFERROR(VLOOKUP(A17,List!$H$1:$I$2804,2,FALSE),""))</f>
        <v>OBL</v>
      </c>
      <c r="E17" s="400"/>
      <c r="F17" s="400"/>
      <c r="G17" s="362"/>
      <c r="H17" s="108"/>
      <c r="I17" s="174"/>
      <c r="J17" s="174"/>
      <c r="K17" s="109"/>
      <c r="L17" s="108"/>
      <c r="M17" s="174"/>
      <c r="N17" s="174"/>
      <c r="O17" s="109"/>
      <c r="P17" s="108">
        <v>1</v>
      </c>
      <c r="Q17" s="174"/>
      <c r="R17" s="174"/>
      <c r="S17" s="109"/>
      <c r="T17" s="175"/>
      <c r="U17" s="176"/>
      <c r="V17" s="368"/>
      <c r="W17" s="368"/>
      <c r="X17" s="368"/>
      <c r="Y17" s="470"/>
      <c r="AC17" s="36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68" t="s">
        <v>166</v>
      </c>
      <c r="B18" s="469"/>
      <c r="C18" s="11" t="s">
        <v>15</v>
      </c>
      <c r="D18" s="400" t="str">
        <f>(IFERROR(VLOOKUP(A18,List!$H$1:$I$2804,2,FALSE),""))</f>
        <v>FAC</v>
      </c>
      <c r="E18" s="400"/>
      <c r="F18" s="400"/>
      <c r="G18" s="362"/>
      <c r="H18" s="108"/>
      <c r="I18" s="174"/>
      <c r="J18" s="174"/>
      <c r="K18" s="109"/>
      <c r="L18" s="108"/>
      <c r="M18" s="174"/>
      <c r="N18" s="174"/>
      <c r="O18" s="109"/>
      <c r="P18" s="108"/>
      <c r="Q18" s="174"/>
      <c r="R18" s="174">
        <v>1</v>
      </c>
      <c r="S18" s="109"/>
      <c r="T18" s="175"/>
      <c r="U18" s="176"/>
      <c r="V18" s="368"/>
      <c r="W18" s="368"/>
      <c r="X18" s="368"/>
      <c r="Y18" s="470"/>
      <c r="AC18" s="36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68"/>
      <c r="B19" s="469"/>
      <c r="C19" s="11" t="s">
        <v>15</v>
      </c>
      <c r="D19" s="400" t="str">
        <f>(IFERROR(VLOOKUP(A19,List!$H$1:$I$2804,2,FALSE),""))</f>
        <v/>
      </c>
      <c r="E19" s="400"/>
      <c r="F19" s="400"/>
      <c r="G19" s="362"/>
      <c r="H19" s="108"/>
      <c r="I19" s="174"/>
      <c r="J19" s="174"/>
      <c r="K19" s="109"/>
      <c r="L19" s="108"/>
      <c r="M19" s="174"/>
      <c r="N19" s="174"/>
      <c r="O19" s="109"/>
      <c r="P19" s="108"/>
      <c r="Q19" s="174"/>
      <c r="R19" s="174"/>
      <c r="S19" s="109"/>
      <c r="T19" s="175"/>
      <c r="U19" s="176"/>
      <c r="V19" s="368"/>
      <c r="W19" s="368"/>
      <c r="X19" s="368"/>
      <c r="Y19" s="470"/>
      <c r="AC19" s="36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68"/>
      <c r="B20" s="469"/>
      <c r="C20" s="11" t="s">
        <v>15</v>
      </c>
      <c r="D20" s="400" t="str">
        <f>(IFERROR(VLOOKUP(A20,List!$H$1:$I$2804,2,FALSE),""))</f>
        <v/>
      </c>
      <c r="E20" s="400"/>
      <c r="F20" s="400"/>
      <c r="G20" s="362"/>
      <c r="H20" s="108"/>
      <c r="I20" s="174"/>
      <c r="J20" s="174"/>
      <c r="K20" s="109"/>
      <c r="L20" s="108"/>
      <c r="M20" s="174"/>
      <c r="N20" s="174"/>
      <c r="O20" s="109"/>
      <c r="P20" s="108"/>
      <c r="Q20" s="174"/>
      <c r="R20" s="174"/>
      <c r="S20" s="109"/>
      <c r="T20" s="175"/>
      <c r="U20" s="176"/>
      <c r="V20" s="368"/>
      <c r="W20" s="368"/>
      <c r="X20" s="368"/>
      <c r="Y20" s="470"/>
      <c r="AC20" s="36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68"/>
      <c r="B21" s="469"/>
      <c r="C21" s="11" t="s">
        <v>15</v>
      </c>
      <c r="D21" s="400" t="str">
        <f>(IFERROR(VLOOKUP(A21,List!$H$1:$I$2804,2,FALSE),""))</f>
        <v/>
      </c>
      <c r="E21" s="400"/>
      <c r="F21" s="400"/>
      <c r="G21" s="362"/>
      <c r="H21" s="108"/>
      <c r="I21" s="174"/>
      <c r="J21" s="174"/>
      <c r="K21" s="109"/>
      <c r="L21" s="108"/>
      <c r="M21" s="174"/>
      <c r="N21" s="174"/>
      <c r="O21" s="109"/>
      <c r="P21" s="108"/>
      <c r="Q21" s="174"/>
      <c r="R21" s="174"/>
      <c r="S21" s="109"/>
      <c r="T21" s="175"/>
      <c r="U21" s="176"/>
      <c r="V21" s="368"/>
      <c r="W21" s="368"/>
      <c r="X21" s="368"/>
      <c r="Y21" s="470"/>
      <c r="AC21" s="36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68"/>
      <c r="B22" s="469"/>
      <c r="C22" s="11" t="s">
        <v>15</v>
      </c>
      <c r="D22" s="400" t="str">
        <f>(IFERROR(VLOOKUP(A22,List!$H$1:$I$2804,2,FALSE),""))</f>
        <v/>
      </c>
      <c r="E22" s="400"/>
      <c r="F22" s="400"/>
      <c r="G22" s="362"/>
      <c r="H22" s="108"/>
      <c r="I22" s="174"/>
      <c r="J22" s="174"/>
      <c r="K22" s="109"/>
      <c r="L22" s="108"/>
      <c r="M22" s="174"/>
      <c r="N22" s="174"/>
      <c r="O22" s="109"/>
      <c r="P22" s="108"/>
      <c r="Q22" s="174"/>
      <c r="R22" s="174"/>
      <c r="S22" s="109"/>
      <c r="T22" s="175"/>
      <c r="U22" s="176"/>
      <c r="V22" s="368"/>
      <c r="W22" s="368"/>
      <c r="X22" s="368"/>
      <c r="Y22" s="470"/>
      <c r="AC22" s="20"/>
    </row>
    <row r="23" spans="1:32" ht="16.5" customHeight="1" thickTop="1" thickBot="1">
      <c r="A23" s="468"/>
      <c r="B23" s="469"/>
      <c r="C23" s="11" t="s">
        <v>15</v>
      </c>
      <c r="D23" s="400" t="str">
        <f>(IFERROR(VLOOKUP(A23,List!$H$1:$I$2804,2,FALSE),""))</f>
        <v/>
      </c>
      <c r="E23" s="400"/>
      <c r="F23" s="400"/>
      <c r="G23" s="362"/>
      <c r="H23" s="108"/>
      <c r="I23" s="174"/>
      <c r="J23" s="174"/>
      <c r="K23" s="109"/>
      <c r="L23" s="108"/>
      <c r="M23" s="174"/>
      <c r="N23" s="174"/>
      <c r="O23" s="109"/>
      <c r="P23" s="108"/>
      <c r="Q23" s="174"/>
      <c r="R23" s="174"/>
      <c r="S23" s="109"/>
      <c r="T23" s="175"/>
      <c r="U23" s="176"/>
      <c r="V23" s="368"/>
      <c r="W23" s="368"/>
      <c r="X23" s="368"/>
      <c r="Y23" s="470"/>
      <c r="AC23" s="36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68"/>
      <c r="B24" s="469"/>
      <c r="C24" s="11" t="s">
        <v>15</v>
      </c>
      <c r="D24" s="400" t="str">
        <f>(IFERROR(VLOOKUP(A24,List!$H$1:$I$2804,2,FALSE),""))</f>
        <v/>
      </c>
      <c r="E24" s="400"/>
      <c r="F24" s="400"/>
      <c r="G24" s="362"/>
      <c r="H24" s="108"/>
      <c r="I24" s="174"/>
      <c r="J24" s="174"/>
      <c r="K24" s="109"/>
      <c r="L24" s="108"/>
      <c r="M24" s="174"/>
      <c r="N24" s="174"/>
      <c r="O24" s="109"/>
      <c r="P24" s="108"/>
      <c r="Q24" s="174"/>
      <c r="R24" s="174"/>
      <c r="S24" s="109"/>
      <c r="T24" s="175"/>
      <c r="U24" s="176"/>
      <c r="V24" s="368"/>
      <c r="W24" s="368"/>
      <c r="X24" s="368"/>
      <c r="Y24" s="470"/>
      <c r="AC24" s="36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68"/>
      <c r="B25" s="469"/>
      <c r="C25" s="11" t="s">
        <v>15</v>
      </c>
      <c r="D25" s="400" t="str">
        <f>(IFERROR(VLOOKUP(A25,List!$H$1:$I$2804,2,FALSE),""))</f>
        <v/>
      </c>
      <c r="E25" s="400"/>
      <c r="F25" s="400"/>
      <c r="G25" s="362"/>
      <c r="H25" s="108"/>
      <c r="I25" s="174"/>
      <c r="J25" s="174"/>
      <c r="K25" s="109"/>
      <c r="L25" s="108"/>
      <c r="M25" s="174"/>
      <c r="N25" s="174"/>
      <c r="O25" s="109"/>
      <c r="P25" s="108"/>
      <c r="Q25" s="174"/>
      <c r="R25" s="174"/>
      <c r="S25" s="109"/>
      <c r="T25" s="175"/>
      <c r="U25" s="176"/>
      <c r="V25" s="368"/>
      <c r="W25" s="368"/>
      <c r="X25" s="368"/>
      <c r="Y25" s="470"/>
      <c r="AC25" s="36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68"/>
      <c r="B26" s="469"/>
      <c r="C26" s="11" t="s">
        <v>15</v>
      </c>
      <c r="D26" s="400" t="str">
        <f>(IFERROR(VLOOKUP(A26,List!$H$1:$I$2804,2,FALSE),""))</f>
        <v/>
      </c>
      <c r="E26" s="400"/>
      <c r="F26" s="400"/>
      <c r="G26" s="362"/>
      <c r="H26" s="108"/>
      <c r="I26" s="174"/>
      <c r="J26" s="174"/>
      <c r="K26" s="109"/>
      <c r="L26" s="108"/>
      <c r="M26" s="174"/>
      <c r="N26" s="174"/>
      <c r="O26" s="109"/>
      <c r="P26" s="108"/>
      <c r="Q26" s="174"/>
      <c r="R26" s="174"/>
      <c r="S26" s="109"/>
      <c r="T26" s="175"/>
      <c r="U26" s="176"/>
      <c r="V26" s="368"/>
      <c r="W26" s="368"/>
      <c r="X26" s="368"/>
      <c r="Y26" s="470"/>
      <c r="AC26" s="36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68"/>
      <c r="B27" s="469"/>
      <c r="C27" s="11" t="s">
        <v>15</v>
      </c>
      <c r="D27" s="400" t="str">
        <f>(IFERROR(VLOOKUP(A27,List!$H$1:$I$2804,2,FALSE),""))</f>
        <v/>
      </c>
      <c r="E27" s="400"/>
      <c r="F27" s="400"/>
      <c r="G27" s="362"/>
      <c r="H27" s="108"/>
      <c r="I27" s="174"/>
      <c r="J27" s="174"/>
      <c r="K27" s="109"/>
      <c r="L27" s="108"/>
      <c r="M27" s="174"/>
      <c r="N27" s="174"/>
      <c r="O27" s="109"/>
      <c r="P27" s="108"/>
      <c r="Q27" s="174"/>
      <c r="R27" s="174"/>
      <c r="S27" s="109"/>
      <c r="T27" s="175"/>
      <c r="U27" s="176"/>
      <c r="V27" s="368"/>
      <c r="W27" s="368"/>
      <c r="X27" s="368"/>
      <c r="Y27" s="470"/>
      <c r="AC27" s="36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68"/>
      <c r="B28" s="469"/>
      <c r="C28" s="11" t="s">
        <v>15</v>
      </c>
      <c r="D28" s="400" t="str">
        <f>(IFERROR(VLOOKUP(A28,List!$H$1:$I$2804,2,FALSE),""))</f>
        <v/>
      </c>
      <c r="E28" s="400"/>
      <c r="F28" s="400"/>
      <c r="G28" s="362"/>
      <c r="H28" s="108"/>
      <c r="I28" s="174"/>
      <c r="J28" s="174"/>
      <c r="K28" s="109"/>
      <c r="L28" s="108"/>
      <c r="M28" s="174"/>
      <c r="N28" s="174"/>
      <c r="O28" s="109"/>
      <c r="P28" s="108"/>
      <c r="Q28" s="174"/>
      <c r="R28" s="174"/>
      <c r="S28" s="109"/>
      <c r="T28" s="175"/>
      <c r="U28" s="176"/>
      <c r="V28" s="368"/>
      <c r="W28" s="368"/>
      <c r="X28" s="368"/>
      <c r="Y28" s="470"/>
      <c r="AC28" s="36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68"/>
      <c r="B29" s="469"/>
      <c r="C29" s="11" t="s">
        <v>15</v>
      </c>
      <c r="D29" s="400" t="str">
        <f>(IFERROR(VLOOKUP(A29,List!$H$1:$I$2804,2,FALSE),""))</f>
        <v/>
      </c>
      <c r="E29" s="400"/>
      <c r="F29" s="400"/>
      <c r="G29" s="362"/>
      <c r="H29" s="108"/>
      <c r="I29" s="174"/>
      <c r="J29" s="174"/>
      <c r="K29" s="109"/>
      <c r="L29" s="108"/>
      <c r="M29" s="174"/>
      <c r="N29" s="174"/>
      <c r="O29" s="109"/>
      <c r="P29" s="108"/>
      <c r="Q29" s="174"/>
      <c r="R29" s="174"/>
      <c r="S29" s="109"/>
      <c r="T29" s="175"/>
      <c r="U29" s="176"/>
      <c r="V29" s="368"/>
      <c r="W29" s="368"/>
      <c r="X29" s="368"/>
      <c r="Y29" s="470"/>
      <c r="AC29" s="36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68"/>
      <c r="B30" s="469"/>
      <c r="C30" s="11" t="s">
        <v>15</v>
      </c>
      <c r="D30" s="400" t="str">
        <f>(IFERROR(VLOOKUP(A30,List!$H$1:$I$2804,2,FALSE),""))</f>
        <v/>
      </c>
      <c r="E30" s="400"/>
      <c r="F30" s="400"/>
      <c r="G30" s="362"/>
      <c r="H30" s="108"/>
      <c r="I30" s="174"/>
      <c r="J30" s="174"/>
      <c r="K30" s="109"/>
      <c r="L30" s="108"/>
      <c r="M30" s="174"/>
      <c r="N30" s="174"/>
      <c r="O30" s="109"/>
      <c r="P30" s="108"/>
      <c r="Q30" s="174"/>
      <c r="R30" s="174"/>
      <c r="S30" s="109"/>
      <c r="T30" s="175"/>
      <c r="U30" s="176"/>
      <c r="V30" s="368"/>
      <c r="W30" s="368"/>
      <c r="X30" s="368"/>
      <c r="Y30" s="470"/>
      <c r="AC30" s="36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68"/>
      <c r="B31" s="469"/>
      <c r="C31" s="11" t="s">
        <v>15</v>
      </c>
      <c r="D31" s="400" t="str">
        <f>(IFERROR(VLOOKUP(A31,List!$H$1:$I$2804,2,FALSE),""))</f>
        <v/>
      </c>
      <c r="E31" s="400"/>
      <c r="F31" s="400"/>
      <c r="G31" s="362"/>
      <c r="H31" s="108"/>
      <c r="I31" s="174"/>
      <c r="J31" s="174"/>
      <c r="K31" s="109"/>
      <c r="L31" s="108"/>
      <c r="M31" s="174"/>
      <c r="N31" s="174"/>
      <c r="O31" s="109"/>
      <c r="P31" s="108"/>
      <c r="Q31" s="174"/>
      <c r="R31" s="174"/>
      <c r="S31" s="109"/>
      <c r="T31" s="175"/>
      <c r="U31" s="176"/>
      <c r="V31" s="368"/>
      <c r="W31" s="368"/>
      <c r="X31" s="368"/>
      <c r="Y31" s="470"/>
      <c r="AC31" s="36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68"/>
      <c r="B32" s="469"/>
      <c r="C32" s="11" t="s">
        <v>15</v>
      </c>
      <c r="D32" s="400" t="str">
        <f>(IFERROR(VLOOKUP(A32,List!$H$1:$I$2804,2,FALSE),""))</f>
        <v/>
      </c>
      <c r="E32" s="400"/>
      <c r="F32" s="400"/>
      <c r="G32" s="362"/>
      <c r="H32" s="108"/>
      <c r="I32" s="174"/>
      <c r="J32" s="174"/>
      <c r="K32" s="109"/>
      <c r="L32" s="108"/>
      <c r="M32" s="174"/>
      <c r="N32" s="174"/>
      <c r="O32" s="109"/>
      <c r="P32" s="108"/>
      <c r="Q32" s="174"/>
      <c r="R32" s="174"/>
      <c r="S32" s="109"/>
      <c r="T32" s="175"/>
      <c r="U32" s="176"/>
      <c r="V32" s="368"/>
      <c r="W32" s="368"/>
      <c r="X32" s="368"/>
      <c r="Y32" s="470"/>
      <c r="AC32" s="36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68"/>
      <c r="B33" s="469"/>
      <c r="C33" s="11" t="s">
        <v>15</v>
      </c>
      <c r="D33" s="400" t="str">
        <f>(IFERROR(VLOOKUP(A33,List!$H$1:$I$2804,2,FALSE),""))</f>
        <v/>
      </c>
      <c r="E33" s="400"/>
      <c r="F33" s="400"/>
      <c r="G33" s="362"/>
      <c r="H33" s="108"/>
      <c r="I33" s="174"/>
      <c r="J33" s="174"/>
      <c r="K33" s="109"/>
      <c r="L33" s="108"/>
      <c r="M33" s="174"/>
      <c r="N33" s="174"/>
      <c r="O33" s="109"/>
      <c r="P33" s="108"/>
      <c r="Q33" s="174"/>
      <c r="R33" s="174"/>
      <c r="S33" s="109"/>
      <c r="T33" s="175"/>
      <c r="U33" s="176"/>
      <c r="V33" s="368"/>
      <c r="W33" s="368"/>
      <c r="X33" s="368"/>
      <c r="Y33" s="470"/>
      <c r="AC33" s="36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68"/>
      <c r="B34" s="469"/>
      <c r="C34" s="11" t="s">
        <v>15</v>
      </c>
      <c r="D34" s="400" t="str">
        <f>(IFERROR(VLOOKUP(A34,List!$H$1:$I$2804,2,FALSE),""))</f>
        <v/>
      </c>
      <c r="E34" s="400"/>
      <c r="F34" s="400"/>
      <c r="G34" s="362"/>
      <c r="H34" s="108"/>
      <c r="I34" s="174"/>
      <c r="J34" s="174"/>
      <c r="K34" s="109"/>
      <c r="L34" s="108"/>
      <c r="M34" s="174"/>
      <c r="N34" s="174"/>
      <c r="O34" s="109"/>
      <c r="P34" s="108"/>
      <c r="Q34" s="174"/>
      <c r="R34" s="174"/>
      <c r="S34" s="109"/>
      <c r="T34" s="175"/>
      <c r="U34" s="176"/>
      <c r="V34" s="368"/>
      <c r="W34" s="368"/>
      <c r="X34" s="368"/>
      <c r="Y34" s="470"/>
      <c r="AC34" s="36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68"/>
      <c r="B35" s="469"/>
      <c r="C35" s="11" t="s">
        <v>15</v>
      </c>
      <c r="D35" s="400" t="str">
        <f>(IFERROR(VLOOKUP(A35,List!$H$1:$I$2804,2,FALSE),""))</f>
        <v/>
      </c>
      <c r="E35" s="400"/>
      <c r="F35" s="400"/>
      <c r="G35" s="362"/>
      <c r="H35" s="108"/>
      <c r="I35" s="174"/>
      <c r="J35" s="174"/>
      <c r="K35" s="109"/>
      <c r="L35" s="108"/>
      <c r="M35" s="174"/>
      <c r="N35" s="174"/>
      <c r="O35" s="109"/>
      <c r="P35" s="108"/>
      <c r="Q35" s="174"/>
      <c r="R35" s="174"/>
      <c r="S35" s="109"/>
      <c r="T35" s="175"/>
      <c r="U35" s="176"/>
      <c r="V35" s="368"/>
      <c r="W35" s="368"/>
      <c r="X35" s="368"/>
      <c r="Y35" s="470"/>
      <c r="AC35" s="36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68"/>
      <c r="B36" s="469"/>
      <c r="C36" s="11" t="s">
        <v>15</v>
      </c>
      <c r="D36" s="400" t="str">
        <f>(IFERROR(VLOOKUP(A36,List!$H$1:$I$2804,2,FALSE),""))</f>
        <v/>
      </c>
      <c r="E36" s="400"/>
      <c r="F36" s="400"/>
      <c r="G36" s="362"/>
      <c r="H36" s="108"/>
      <c r="I36" s="174"/>
      <c r="J36" s="174"/>
      <c r="K36" s="109"/>
      <c r="L36" s="108"/>
      <c r="M36" s="174"/>
      <c r="N36" s="174"/>
      <c r="O36" s="109"/>
      <c r="P36" s="108"/>
      <c r="Q36" s="174"/>
      <c r="R36" s="174"/>
      <c r="S36" s="109"/>
      <c r="T36" s="175"/>
      <c r="U36" s="176"/>
      <c r="V36" s="368"/>
      <c r="W36" s="368"/>
      <c r="X36" s="368"/>
      <c r="Y36" s="470"/>
      <c r="AC36" s="36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68"/>
      <c r="B37" s="469"/>
      <c r="C37" s="11" t="s">
        <v>15</v>
      </c>
      <c r="D37" s="400" t="str">
        <f>(IFERROR(VLOOKUP(A37,List!$H$1:$I$2804,2,FALSE),""))</f>
        <v/>
      </c>
      <c r="E37" s="400"/>
      <c r="F37" s="400"/>
      <c r="G37" s="362"/>
      <c r="H37" s="108"/>
      <c r="I37" s="174"/>
      <c r="J37" s="174"/>
      <c r="K37" s="109"/>
      <c r="L37" s="108"/>
      <c r="M37" s="174"/>
      <c r="N37" s="174"/>
      <c r="O37" s="109"/>
      <c r="P37" s="108"/>
      <c r="Q37" s="174"/>
      <c r="R37" s="174"/>
      <c r="S37" s="109"/>
      <c r="T37" s="175"/>
      <c r="U37" s="176"/>
      <c r="V37" s="368"/>
      <c r="W37" s="368"/>
      <c r="X37" s="368"/>
      <c r="Y37" s="470"/>
      <c r="AC37" s="36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68"/>
      <c r="B38" s="469"/>
      <c r="C38" s="11" t="s">
        <v>15</v>
      </c>
      <c r="D38" s="400" t="str">
        <f>(IFERROR(VLOOKUP(A38,List!$H$1:$I$2804,2,FALSE),""))</f>
        <v/>
      </c>
      <c r="E38" s="400"/>
      <c r="F38" s="400"/>
      <c r="G38" s="362"/>
      <c r="H38" s="108"/>
      <c r="I38" s="174"/>
      <c r="J38" s="174"/>
      <c r="K38" s="109"/>
      <c r="L38" s="108"/>
      <c r="M38" s="174"/>
      <c r="N38" s="174"/>
      <c r="O38" s="109"/>
      <c r="P38" s="108"/>
      <c r="Q38" s="174"/>
      <c r="R38" s="174"/>
      <c r="S38" s="109"/>
      <c r="T38" s="175"/>
      <c r="U38" s="176"/>
      <c r="V38" s="368"/>
      <c r="W38" s="368"/>
      <c r="X38" s="368"/>
      <c r="Y38" s="470"/>
      <c r="AC38" s="36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68"/>
      <c r="B39" s="469"/>
      <c r="C39" s="11" t="s">
        <v>15</v>
      </c>
      <c r="D39" s="400" t="str">
        <f>(IFERROR(VLOOKUP(A39,List!$H$1:$I$2804,2,FALSE),""))</f>
        <v/>
      </c>
      <c r="E39" s="400"/>
      <c r="F39" s="400"/>
      <c r="G39" s="362"/>
      <c r="H39" s="108"/>
      <c r="I39" s="174"/>
      <c r="J39" s="174"/>
      <c r="K39" s="109"/>
      <c r="L39" s="108"/>
      <c r="M39" s="174"/>
      <c r="N39" s="174"/>
      <c r="O39" s="109"/>
      <c r="P39" s="108"/>
      <c r="Q39" s="174"/>
      <c r="R39" s="174"/>
      <c r="S39" s="109"/>
      <c r="T39" s="175"/>
      <c r="U39" s="176"/>
      <c r="V39" s="368"/>
      <c r="W39" s="368"/>
      <c r="X39" s="368"/>
      <c r="Y39" s="470"/>
      <c r="AC39" s="36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68"/>
      <c r="B40" s="469"/>
      <c r="C40" s="11" t="s">
        <v>15</v>
      </c>
      <c r="D40" s="471" t="str">
        <f>(IFERROR(VLOOKUP(A40,List!$H$1:$I$2804,2,FALSE),""))</f>
        <v/>
      </c>
      <c r="E40" s="472"/>
      <c r="F40" s="472"/>
      <c r="G40" s="472"/>
      <c r="H40" s="110"/>
      <c r="I40" s="102"/>
      <c r="J40" s="102"/>
      <c r="K40" s="111"/>
      <c r="L40" s="110"/>
      <c r="M40" s="102"/>
      <c r="N40" s="102"/>
      <c r="O40" s="111"/>
      <c r="P40" s="110"/>
      <c r="Q40" s="102"/>
      <c r="R40" s="102"/>
      <c r="S40" s="111"/>
      <c r="T40" s="105"/>
      <c r="U40" s="146"/>
      <c r="V40" s="473"/>
      <c r="W40" s="473"/>
      <c r="X40" s="473"/>
      <c r="Y40" s="474"/>
      <c r="AC40" s="36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4"/>
      <c r="B41" s="444"/>
      <c r="C41" s="445" t="s">
        <v>2892</v>
      </c>
      <c r="D41" s="446"/>
      <c r="E41" s="446"/>
      <c r="F41" s="446"/>
      <c r="G41" s="447"/>
      <c r="H41" s="212">
        <f>SUM(H13:H40)</f>
        <v>0</v>
      </c>
      <c r="I41" s="213">
        <f t="shared" ref="I41:S41" si="0">SUM(I13:I40)</f>
        <v>0</v>
      </c>
      <c r="J41" s="213">
        <f t="shared" si="0"/>
        <v>0</v>
      </c>
      <c r="K41" s="214">
        <f t="shared" si="0"/>
        <v>0</v>
      </c>
      <c r="L41" s="215">
        <f t="shared" si="0"/>
        <v>0</v>
      </c>
      <c r="M41" s="213">
        <f t="shared" si="0"/>
        <v>0</v>
      </c>
      <c r="N41" s="213">
        <f t="shared" si="0"/>
        <v>0</v>
      </c>
      <c r="O41" s="214">
        <f t="shared" si="0"/>
        <v>0</v>
      </c>
      <c r="P41" s="216">
        <f t="shared" si="0"/>
        <v>1</v>
      </c>
      <c r="Q41" s="116">
        <f t="shared" si="0"/>
        <v>6</v>
      </c>
      <c r="R41" s="116">
        <f t="shared" si="0"/>
        <v>1</v>
      </c>
      <c r="S41" s="117">
        <f t="shared" si="0"/>
        <v>80</v>
      </c>
      <c r="T41" s="179"/>
      <c r="U41" s="179"/>
      <c r="V41" s="179"/>
      <c r="W41" s="179"/>
      <c r="X41" s="115"/>
      <c r="Y41" s="114"/>
    </row>
    <row r="42" spans="1:32" ht="15.75" customHeight="1" thickTop="1">
      <c r="A42" s="80" t="s">
        <v>2862</v>
      </c>
      <c r="B42" s="81"/>
      <c r="C42" s="113"/>
      <c r="D42" s="448" t="s">
        <v>2863</v>
      </c>
      <c r="E42" s="448"/>
      <c r="F42" s="448"/>
      <c r="G42" s="448"/>
      <c r="H42" s="559"/>
      <c r="I42" s="560"/>
      <c r="J42" s="560"/>
      <c r="K42" s="560"/>
      <c r="L42" s="560"/>
      <c r="M42" s="560"/>
      <c r="N42" s="560"/>
      <c r="O42" s="560"/>
      <c r="P42" s="561"/>
      <c r="Q42" s="450" t="s">
        <v>2899</v>
      </c>
      <c r="R42" s="450"/>
      <c r="S42" s="450"/>
      <c r="T42" s="458" t="s">
        <v>2870</v>
      </c>
      <c r="U42" s="459"/>
      <c r="V42" s="460" t="s">
        <v>2884</v>
      </c>
      <c r="W42" s="118" t="s">
        <v>2893</v>
      </c>
      <c r="X42" s="462" t="s">
        <v>2894</v>
      </c>
      <c r="Y42" s="119"/>
      <c r="AC42" s="36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65" t="s">
        <v>2864</v>
      </c>
      <c r="B43" s="66"/>
      <c r="C43" s="67"/>
      <c r="D43" s="463"/>
      <c r="E43" s="464"/>
      <c r="F43" s="464"/>
      <c r="G43" s="464"/>
      <c r="H43" s="562"/>
      <c r="I43" s="563"/>
      <c r="J43" s="563"/>
      <c r="K43" s="563"/>
      <c r="L43" s="563"/>
      <c r="M43" s="563"/>
      <c r="N43" s="563"/>
      <c r="O43" s="563"/>
      <c r="P43" s="564"/>
      <c r="Q43" s="180"/>
      <c r="R43" s="180"/>
      <c r="S43" s="180"/>
      <c r="T43" s="466"/>
      <c r="U43" s="464"/>
      <c r="V43" s="461"/>
      <c r="W43" s="98"/>
      <c r="X43" s="462"/>
      <c r="Y43" s="120"/>
      <c r="AC43" s="36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68" t="s">
        <v>2865</v>
      </c>
      <c r="B44" s="69"/>
      <c r="C44" s="66"/>
      <c r="D44" s="464"/>
      <c r="E44" s="464"/>
      <c r="F44" s="464"/>
      <c r="G44" s="464"/>
      <c r="H44" s="562"/>
      <c r="I44" s="563"/>
      <c r="J44" s="563"/>
      <c r="K44" s="563"/>
      <c r="L44" s="563"/>
      <c r="M44" s="563"/>
      <c r="N44" s="563"/>
      <c r="O44" s="563"/>
      <c r="P44" s="564"/>
      <c r="Q44" s="180"/>
      <c r="R44" s="180"/>
      <c r="S44" s="180"/>
      <c r="T44" s="464"/>
      <c r="U44" s="464"/>
      <c r="V44" s="461"/>
      <c r="W44" s="277" t="s">
        <v>3023</v>
      </c>
      <c r="X44" s="467"/>
      <c r="Y44" s="443"/>
      <c r="AC44" s="36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68" t="s">
        <v>2866</v>
      </c>
      <c r="B45" s="70"/>
      <c r="C45" s="66"/>
      <c r="D45" s="464"/>
      <c r="E45" s="464"/>
      <c r="F45" s="464"/>
      <c r="G45" s="464"/>
      <c r="H45" s="562"/>
      <c r="I45" s="563"/>
      <c r="J45" s="563"/>
      <c r="K45" s="563"/>
      <c r="L45" s="563"/>
      <c r="M45" s="563"/>
      <c r="N45" s="563"/>
      <c r="O45" s="563"/>
      <c r="P45" s="564"/>
      <c r="Q45" s="180"/>
      <c r="R45" s="180"/>
      <c r="S45" s="180"/>
      <c r="T45" s="464"/>
      <c r="U45" s="464"/>
      <c r="V45" s="461"/>
      <c r="W45" s="98"/>
      <c r="X45" s="467"/>
      <c r="Y45" s="443"/>
      <c r="AC45" s="36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71" t="s">
        <v>2867</v>
      </c>
      <c r="B46" s="72"/>
      <c r="C46" s="73"/>
      <c r="D46" s="465"/>
      <c r="E46" s="465"/>
      <c r="F46" s="465"/>
      <c r="G46" s="465"/>
      <c r="H46" s="565"/>
      <c r="I46" s="566"/>
      <c r="J46" s="566"/>
      <c r="K46" s="566"/>
      <c r="L46" s="566"/>
      <c r="M46" s="566"/>
      <c r="N46" s="566"/>
      <c r="O46" s="566"/>
      <c r="P46" s="567"/>
      <c r="Q46" s="181"/>
      <c r="R46" s="181"/>
      <c r="S46" s="181"/>
      <c r="T46" s="465"/>
      <c r="U46" s="465"/>
      <c r="V46" s="79"/>
      <c r="W46" s="186" t="s">
        <v>3038</v>
      </c>
      <c r="X46" s="163"/>
      <c r="Y46" s="187"/>
      <c r="AC46" s="36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321" t="s">
        <v>2881</v>
      </c>
      <c r="B47" s="322"/>
      <c r="C47" s="322"/>
      <c r="D47" s="322"/>
      <c r="E47" s="322"/>
      <c r="F47" s="322"/>
      <c r="G47" s="322"/>
      <c r="H47" s="531"/>
      <c r="I47" s="531"/>
      <c r="J47" s="531"/>
      <c r="K47" s="531"/>
      <c r="L47" s="531"/>
      <c r="M47" s="531"/>
      <c r="N47" s="531"/>
      <c r="O47" s="531"/>
      <c r="P47" s="531"/>
      <c r="Q47" s="322"/>
      <c r="R47" s="322"/>
      <c r="S47" s="322"/>
      <c r="T47" s="322"/>
      <c r="U47" s="322"/>
      <c r="V47" s="322"/>
      <c r="W47" s="322"/>
      <c r="X47" s="322"/>
      <c r="Y47" s="324"/>
      <c r="AC47" s="36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165" t="s">
        <v>5</v>
      </c>
      <c r="B48" s="259"/>
      <c r="C48" s="260"/>
      <c r="D48" s="260" t="s">
        <v>2847</v>
      </c>
      <c r="E48" s="514"/>
      <c r="F48" s="515"/>
      <c r="G48" s="515"/>
      <c r="H48" s="515"/>
      <c r="I48" s="515"/>
      <c r="J48" s="515"/>
      <c r="K48" s="515"/>
      <c r="L48" s="515"/>
      <c r="M48" s="515"/>
      <c r="N48" s="515"/>
      <c r="O48" s="515"/>
      <c r="P48" s="515"/>
      <c r="Q48" s="515"/>
      <c r="R48" s="515"/>
      <c r="S48" s="515"/>
      <c r="T48" s="515"/>
      <c r="U48" s="515"/>
      <c r="V48" s="515"/>
      <c r="W48" s="515"/>
      <c r="X48" s="515"/>
      <c r="Y48" s="516"/>
    </row>
    <row r="49" spans="1:33" ht="16.5" thickTop="1" thickBot="1">
      <c r="A49" s="167" t="s">
        <v>10</v>
      </c>
      <c r="B49" s="56"/>
      <c r="C49" s="11" t="s">
        <v>15</v>
      </c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7"/>
      <c r="X49" s="7"/>
      <c r="Y49" s="6"/>
      <c r="AC49" s="36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165" t="s">
        <v>2873</v>
      </c>
      <c r="B50" s="10"/>
      <c r="C50" s="11" t="s">
        <v>15</v>
      </c>
      <c r="D50" s="217" t="s">
        <v>2869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6"/>
      <c r="AC50" s="36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19" t="s">
        <v>33</v>
      </c>
      <c r="B51" s="521"/>
      <c r="C51" s="521"/>
      <c r="D51" s="521"/>
      <c r="E51" s="521"/>
      <c r="F51" s="522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209" t="s">
        <v>2885</v>
      </c>
      <c r="W51" s="13"/>
      <c r="X51" s="13"/>
      <c r="Y51" s="14"/>
      <c r="AC51" s="36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07" t="s">
        <v>35</v>
      </c>
      <c r="B52" s="206"/>
      <c r="C52" s="11" t="s">
        <v>15</v>
      </c>
      <c r="D52" s="498"/>
      <c r="E52" s="499"/>
      <c r="F52" s="500"/>
      <c r="G52" s="512"/>
      <c r="H52" s="512"/>
      <c r="I52" s="512"/>
      <c r="J52" s="512"/>
      <c r="K52" s="512"/>
      <c r="L52" s="512"/>
      <c r="M52" s="512"/>
      <c r="N52" s="512"/>
      <c r="O52" s="512"/>
      <c r="P52" s="512"/>
      <c r="Q52" s="512"/>
      <c r="R52" s="512"/>
      <c r="S52" s="512"/>
      <c r="T52" s="512"/>
      <c r="U52" s="249"/>
      <c r="V52" s="489"/>
      <c r="W52" s="490"/>
      <c r="X52" s="490"/>
      <c r="Y52" s="491"/>
      <c r="AC52" s="36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08" t="s">
        <v>2889</v>
      </c>
      <c r="B53" s="206"/>
      <c r="C53" s="11" t="s">
        <v>15</v>
      </c>
      <c r="D53" s="501"/>
      <c r="E53" s="502"/>
      <c r="F53" s="503"/>
      <c r="G53" s="504"/>
      <c r="H53" s="505"/>
      <c r="I53" s="505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249"/>
      <c r="V53" s="492"/>
      <c r="W53" s="493"/>
      <c r="X53" s="493"/>
      <c r="Y53" s="494"/>
      <c r="AC53" s="36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508" t="s">
        <v>2871</v>
      </c>
      <c r="B54" s="510"/>
      <c r="C54" s="510"/>
      <c r="D54" s="510"/>
      <c r="E54" s="510"/>
      <c r="F54" s="510"/>
      <c r="G54" s="506"/>
      <c r="H54" s="507"/>
      <c r="I54" s="507"/>
      <c r="J54" s="507"/>
      <c r="K54" s="507"/>
      <c r="L54" s="507"/>
      <c r="M54" s="507"/>
      <c r="N54" s="507"/>
      <c r="O54" s="507"/>
      <c r="P54" s="507"/>
      <c r="Q54" s="507"/>
      <c r="R54" s="507"/>
      <c r="S54" s="507"/>
      <c r="T54" s="507"/>
      <c r="U54" s="249"/>
      <c r="V54" s="492"/>
      <c r="W54" s="493"/>
      <c r="X54" s="493"/>
      <c r="Y54" s="494"/>
      <c r="AC54" s="36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509"/>
      <c r="B55" s="511"/>
      <c r="C55" s="511"/>
      <c r="D55" s="511"/>
      <c r="E55" s="511"/>
      <c r="F55" s="511"/>
      <c r="G55" s="506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249"/>
      <c r="V55" s="495"/>
      <c r="W55" s="496"/>
      <c r="X55" s="496"/>
      <c r="Y55" s="497"/>
      <c r="AC55" s="36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557" t="s">
        <v>2843</v>
      </c>
      <c r="B56" s="480"/>
      <c r="C56" s="480"/>
      <c r="D56" s="480"/>
      <c r="E56" s="480"/>
      <c r="F56" s="480"/>
      <c r="G56" s="558"/>
      <c r="H56" s="476" t="s">
        <v>2890</v>
      </c>
      <c r="I56" s="477"/>
      <c r="J56" s="477"/>
      <c r="K56" s="478"/>
      <c r="L56" s="476" t="s">
        <v>2891</v>
      </c>
      <c r="M56" s="477"/>
      <c r="N56" s="477"/>
      <c r="O56" s="478"/>
      <c r="P56" s="476" t="s">
        <v>2914</v>
      </c>
      <c r="Q56" s="477"/>
      <c r="R56" s="477"/>
      <c r="S56" s="478"/>
      <c r="T56" s="479"/>
      <c r="U56" s="480"/>
      <c r="V56" s="480"/>
      <c r="W56" s="480"/>
      <c r="X56" s="480"/>
      <c r="Y56" s="481"/>
      <c r="AG56" s="2"/>
    </row>
    <row r="57" spans="1:33" ht="15.75" thickBot="1">
      <c r="A57" s="482" t="s">
        <v>2872</v>
      </c>
      <c r="B57" s="483"/>
      <c r="C57" s="484"/>
      <c r="D57" s="485" t="s">
        <v>2844</v>
      </c>
      <c r="E57" s="475"/>
      <c r="F57" s="475"/>
      <c r="G57" s="536"/>
      <c r="H57" s="106" t="s">
        <v>2852</v>
      </c>
      <c r="I57" s="182" t="s">
        <v>2850</v>
      </c>
      <c r="J57" s="182" t="s">
        <v>2849</v>
      </c>
      <c r="K57" s="107" t="s">
        <v>2851</v>
      </c>
      <c r="L57" s="106" t="s">
        <v>2852</v>
      </c>
      <c r="M57" s="182" t="s">
        <v>2850</v>
      </c>
      <c r="N57" s="182" t="s">
        <v>2849</v>
      </c>
      <c r="O57" s="107" t="s">
        <v>2851</v>
      </c>
      <c r="P57" s="106" t="s">
        <v>2852</v>
      </c>
      <c r="Q57" s="182" t="s">
        <v>2850</v>
      </c>
      <c r="R57" s="182" t="s">
        <v>2849</v>
      </c>
      <c r="S57" s="178" t="s">
        <v>2851</v>
      </c>
      <c r="T57" s="74"/>
      <c r="U57" s="74"/>
      <c r="V57" s="164"/>
      <c r="W57" s="536" t="s">
        <v>2845</v>
      </c>
      <c r="X57" s="539"/>
      <c r="Y57" s="540"/>
      <c r="AC57" s="36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68"/>
      <c r="B58" s="469"/>
      <c r="C58" s="11" t="s">
        <v>15</v>
      </c>
      <c r="D58" s="400" t="str">
        <f>(IFERROR(VLOOKUP(A58,List!$H$1:$I$2804,2,FALSE),""))</f>
        <v/>
      </c>
      <c r="E58" s="400"/>
      <c r="F58" s="400"/>
      <c r="G58" s="400"/>
      <c r="H58" s="108"/>
      <c r="I58" s="174"/>
      <c r="J58" s="174"/>
      <c r="K58" s="109"/>
      <c r="L58" s="108"/>
      <c r="M58" s="174"/>
      <c r="N58" s="174"/>
      <c r="O58" s="109"/>
      <c r="P58" s="108"/>
      <c r="Q58" s="174"/>
      <c r="R58" s="174"/>
      <c r="S58" s="176"/>
      <c r="T58" s="174"/>
      <c r="U58" s="174"/>
      <c r="V58" s="362"/>
      <c r="W58" s="368"/>
      <c r="X58" s="368"/>
      <c r="Y58" s="470"/>
      <c r="AC58" s="36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68"/>
      <c r="B59" s="469"/>
      <c r="C59" s="11" t="s">
        <v>15</v>
      </c>
      <c r="D59" s="400" t="str">
        <f>(IFERROR(VLOOKUP(A59,List!$H$1:$I$2804,2,FALSE),""))</f>
        <v/>
      </c>
      <c r="E59" s="400"/>
      <c r="F59" s="400"/>
      <c r="G59" s="400"/>
      <c r="H59" s="108"/>
      <c r="I59" s="174"/>
      <c r="J59" s="174"/>
      <c r="K59" s="109"/>
      <c r="L59" s="108"/>
      <c r="M59" s="174"/>
      <c r="N59" s="174"/>
      <c r="O59" s="109"/>
      <c r="P59" s="108"/>
      <c r="Q59" s="174"/>
      <c r="R59" s="174"/>
      <c r="S59" s="176"/>
      <c r="T59" s="174"/>
      <c r="U59" s="174"/>
      <c r="V59" s="362"/>
      <c r="W59" s="368"/>
      <c r="X59" s="368"/>
      <c r="Y59" s="363"/>
      <c r="AC59" s="36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68"/>
      <c r="B60" s="469"/>
      <c r="C60" s="11" t="s">
        <v>15</v>
      </c>
      <c r="D60" s="400" t="str">
        <f>(IFERROR(VLOOKUP(A60,List!$H$1:$I$2804,2,FALSE),""))</f>
        <v/>
      </c>
      <c r="E60" s="400"/>
      <c r="F60" s="400"/>
      <c r="G60" s="400"/>
      <c r="H60" s="108"/>
      <c r="I60" s="174"/>
      <c r="J60" s="174"/>
      <c r="K60" s="109"/>
      <c r="L60" s="108"/>
      <c r="M60" s="174"/>
      <c r="N60" s="174"/>
      <c r="O60" s="109"/>
      <c r="P60" s="108"/>
      <c r="Q60" s="174"/>
      <c r="R60" s="174"/>
      <c r="S60" s="176"/>
      <c r="T60" s="174"/>
      <c r="U60" s="174"/>
      <c r="V60" s="362"/>
      <c r="W60" s="368"/>
      <c r="X60" s="368"/>
      <c r="Y60" s="363"/>
      <c r="AC60" s="36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68"/>
      <c r="B61" s="469"/>
      <c r="C61" s="11" t="s">
        <v>15</v>
      </c>
      <c r="D61" s="400" t="str">
        <f>(IFERROR(VLOOKUP(A61,List!$H$1:$I$2804,2,FALSE),""))</f>
        <v/>
      </c>
      <c r="E61" s="400"/>
      <c r="F61" s="400"/>
      <c r="G61" s="400"/>
      <c r="H61" s="108"/>
      <c r="I61" s="174"/>
      <c r="J61" s="174"/>
      <c r="K61" s="109"/>
      <c r="L61" s="108"/>
      <c r="M61" s="174"/>
      <c r="N61" s="174"/>
      <c r="O61" s="109"/>
      <c r="P61" s="108"/>
      <c r="Q61" s="174"/>
      <c r="R61" s="174"/>
      <c r="S61" s="176"/>
      <c r="T61" s="174"/>
      <c r="U61" s="174"/>
      <c r="V61" s="362"/>
      <c r="W61" s="368"/>
      <c r="X61" s="368"/>
      <c r="Y61" s="363"/>
      <c r="AC61" s="36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68"/>
      <c r="B62" s="469"/>
      <c r="C62" s="11" t="s">
        <v>15</v>
      </c>
      <c r="D62" s="400" t="str">
        <f>(IFERROR(VLOOKUP(A62,List!$H$1:$I$2804,2,FALSE),""))</f>
        <v/>
      </c>
      <c r="E62" s="400"/>
      <c r="F62" s="400"/>
      <c r="G62" s="400"/>
      <c r="H62" s="108"/>
      <c r="I62" s="174"/>
      <c r="J62" s="174"/>
      <c r="K62" s="109"/>
      <c r="L62" s="108"/>
      <c r="M62" s="174"/>
      <c r="N62" s="174"/>
      <c r="O62" s="109"/>
      <c r="P62" s="108"/>
      <c r="Q62" s="174"/>
      <c r="R62" s="174"/>
      <c r="S62" s="176"/>
      <c r="T62" s="174"/>
      <c r="U62" s="174"/>
      <c r="V62" s="362"/>
      <c r="W62" s="368"/>
      <c r="X62" s="368"/>
      <c r="Y62" s="363"/>
      <c r="AC62" s="36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68"/>
      <c r="B63" s="469"/>
      <c r="C63" s="11" t="s">
        <v>15</v>
      </c>
      <c r="D63" s="400" t="str">
        <f>(IFERROR(VLOOKUP(A63,List!$H$1:$I$2804,2,FALSE),""))</f>
        <v/>
      </c>
      <c r="E63" s="400"/>
      <c r="F63" s="400"/>
      <c r="G63" s="400"/>
      <c r="H63" s="108"/>
      <c r="I63" s="174"/>
      <c r="J63" s="174"/>
      <c r="K63" s="109"/>
      <c r="L63" s="108"/>
      <c r="M63" s="174"/>
      <c r="N63" s="174"/>
      <c r="O63" s="109"/>
      <c r="P63" s="108"/>
      <c r="Q63" s="174"/>
      <c r="R63" s="174"/>
      <c r="S63" s="176"/>
      <c r="T63" s="174"/>
      <c r="U63" s="174"/>
      <c r="V63" s="362"/>
      <c r="W63" s="368"/>
      <c r="X63" s="368"/>
      <c r="Y63" s="470"/>
      <c r="AC63" s="36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68"/>
      <c r="B64" s="469"/>
      <c r="C64" s="11" t="s">
        <v>15</v>
      </c>
      <c r="D64" s="400" t="str">
        <f>(IFERROR(VLOOKUP(A64,List!$H$1:$I$2804,2,FALSE),""))</f>
        <v/>
      </c>
      <c r="E64" s="400"/>
      <c r="F64" s="400"/>
      <c r="G64" s="400"/>
      <c r="H64" s="108"/>
      <c r="I64" s="174"/>
      <c r="J64" s="174"/>
      <c r="K64" s="109"/>
      <c r="L64" s="108"/>
      <c r="M64" s="174"/>
      <c r="N64" s="174"/>
      <c r="O64" s="109"/>
      <c r="P64" s="108"/>
      <c r="Q64" s="174"/>
      <c r="R64" s="174"/>
      <c r="S64" s="176"/>
      <c r="T64" s="174"/>
      <c r="U64" s="174"/>
      <c r="V64" s="362"/>
      <c r="W64" s="368"/>
      <c r="X64" s="368"/>
      <c r="Y64" s="470"/>
      <c r="AC64" s="36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68"/>
      <c r="B65" s="469"/>
      <c r="C65" s="11" t="s">
        <v>15</v>
      </c>
      <c r="D65" s="400" t="str">
        <f>(IFERROR(VLOOKUP(A65,List!$H$1:$I$2804,2,FALSE),""))</f>
        <v/>
      </c>
      <c r="E65" s="400"/>
      <c r="F65" s="400"/>
      <c r="G65" s="400"/>
      <c r="H65" s="108"/>
      <c r="I65" s="174"/>
      <c r="J65" s="174"/>
      <c r="K65" s="109"/>
      <c r="L65" s="108"/>
      <c r="M65" s="174"/>
      <c r="N65" s="174"/>
      <c r="O65" s="109"/>
      <c r="P65" s="108"/>
      <c r="Q65" s="174"/>
      <c r="R65" s="174"/>
      <c r="S65" s="176"/>
      <c r="T65" s="174"/>
      <c r="U65" s="174"/>
      <c r="V65" s="362"/>
      <c r="W65" s="368"/>
      <c r="X65" s="368"/>
      <c r="Y65" s="470"/>
      <c r="AC65" s="36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68"/>
      <c r="B66" s="469"/>
      <c r="C66" s="11" t="s">
        <v>15</v>
      </c>
      <c r="D66" s="400" t="str">
        <f>(IFERROR(VLOOKUP(A66,List!$H$1:$I$2804,2,FALSE),""))</f>
        <v/>
      </c>
      <c r="E66" s="400"/>
      <c r="F66" s="400"/>
      <c r="G66" s="400"/>
      <c r="H66" s="108"/>
      <c r="I66" s="174"/>
      <c r="J66" s="174"/>
      <c r="K66" s="109"/>
      <c r="L66" s="108"/>
      <c r="M66" s="174"/>
      <c r="N66" s="174"/>
      <c r="O66" s="109"/>
      <c r="P66" s="108"/>
      <c r="Q66" s="174"/>
      <c r="R66" s="174"/>
      <c r="S66" s="176"/>
      <c r="T66" s="174"/>
      <c r="U66" s="174"/>
      <c r="V66" s="362"/>
      <c r="W66" s="368"/>
      <c r="X66" s="368"/>
      <c r="Y66" s="470"/>
      <c r="AC66" s="36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68"/>
      <c r="B67" s="469"/>
      <c r="C67" s="11" t="s">
        <v>15</v>
      </c>
      <c r="D67" s="400" t="str">
        <f>(IFERROR(VLOOKUP(A67,List!$H$1:$I$2804,2,FALSE),""))</f>
        <v/>
      </c>
      <c r="E67" s="400"/>
      <c r="F67" s="400"/>
      <c r="G67" s="400"/>
      <c r="H67" s="108"/>
      <c r="I67" s="174"/>
      <c r="J67" s="174"/>
      <c r="K67" s="109"/>
      <c r="L67" s="108"/>
      <c r="M67" s="174"/>
      <c r="N67" s="174"/>
      <c r="O67" s="109"/>
      <c r="P67" s="108"/>
      <c r="Q67" s="174"/>
      <c r="R67" s="174"/>
      <c r="S67" s="176"/>
      <c r="T67" s="174"/>
      <c r="U67" s="174"/>
      <c r="V67" s="362"/>
      <c r="W67" s="368"/>
      <c r="X67" s="368"/>
      <c r="Y67" s="470"/>
      <c r="AC67" s="36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68"/>
      <c r="B68" s="469"/>
      <c r="C68" s="11" t="s">
        <v>15</v>
      </c>
      <c r="D68" s="400" t="str">
        <f>(IFERROR(VLOOKUP(A68,List!$H$1:$I$2804,2,FALSE),""))</f>
        <v/>
      </c>
      <c r="E68" s="400"/>
      <c r="F68" s="400"/>
      <c r="G68" s="400"/>
      <c r="H68" s="108"/>
      <c r="I68" s="174"/>
      <c r="J68" s="174"/>
      <c r="K68" s="109"/>
      <c r="L68" s="108"/>
      <c r="M68" s="174"/>
      <c r="N68" s="174"/>
      <c r="O68" s="109"/>
      <c r="P68" s="108"/>
      <c r="Q68" s="174"/>
      <c r="R68" s="174"/>
      <c r="S68" s="176"/>
      <c r="T68" s="174"/>
      <c r="U68" s="174"/>
      <c r="V68" s="362"/>
      <c r="W68" s="368"/>
      <c r="X68" s="368"/>
      <c r="Y68" s="470"/>
      <c r="AC68" s="36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68"/>
      <c r="B69" s="469"/>
      <c r="C69" s="11" t="s">
        <v>15</v>
      </c>
      <c r="D69" s="400" t="str">
        <f>(IFERROR(VLOOKUP(A69,List!$H$1:$I$2804,2,FALSE),""))</f>
        <v/>
      </c>
      <c r="E69" s="400"/>
      <c r="F69" s="400"/>
      <c r="G69" s="400"/>
      <c r="H69" s="108"/>
      <c r="I69" s="174"/>
      <c r="J69" s="174"/>
      <c r="K69" s="109"/>
      <c r="L69" s="108"/>
      <c r="M69" s="174"/>
      <c r="N69" s="174"/>
      <c r="O69" s="109"/>
      <c r="P69" s="108"/>
      <c r="Q69" s="174"/>
      <c r="R69" s="174"/>
      <c r="S69" s="176"/>
      <c r="T69" s="174"/>
      <c r="U69" s="174"/>
      <c r="V69" s="362"/>
      <c r="W69" s="368"/>
      <c r="X69" s="368"/>
      <c r="Y69" s="470"/>
      <c r="AC69" s="36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68"/>
      <c r="B70" s="469"/>
      <c r="C70" s="11" t="s">
        <v>15</v>
      </c>
      <c r="D70" s="400" t="str">
        <f>(IFERROR(VLOOKUP(A70,List!$H$1:$I$2804,2,FALSE),""))</f>
        <v/>
      </c>
      <c r="E70" s="400"/>
      <c r="F70" s="400"/>
      <c r="G70" s="400"/>
      <c r="H70" s="108"/>
      <c r="I70" s="174"/>
      <c r="J70" s="174"/>
      <c r="K70" s="109"/>
      <c r="L70" s="108"/>
      <c r="M70" s="174"/>
      <c r="N70" s="174"/>
      <c r="O70" s="109"/>
      <c r="P70" s="108"/>
      <c r="Q70" s="174"/>
      <c r="R70" s="174"/>
      <c r="S70" s="176"/>
      <c r="T70" s="174"/>
      <c r="U70" s="174"/>
      <c r="V70" s="362"/>
      <c r="W70" s="368"/>
      <c r="X70" s="368"/>
      <c r="Y70" s="470"/>
      <c r="AC70" s="36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68"/>
      <c r="B71" s="469"/>
      <c r="C71" s="11" t="s">
        <v>15</v>
      </c>
      <c r="D71" s="400" t="str">
        <f>(IFERROR(VLOOKUP(A71,List!$H$1:$I$2804,2,FALSE),""))</f>
        <v/>
      </c>
      <c r="E71" s="400"/>
      <c r="F71" s="400"/>
      <c r="G71" s="400"/>
      <c r="H71" s="108"/>
      <c r="I71" s="174"/>
      <c r="J71" s="174"/>
      <c r="K71" s="109"/>
      <c r="L71" s="108"/>
      <c r="M71" s="174"/>
      <c r="N71" s="174"/>
      <c r="O71" s="109"/>
      <c r="P71" s="108"/>
      <c r="Q71" s="174"/>
      <c r="R71" s="174"/>
      <c r="S71" s="176"/>
      <c r="T71" s="174"/>
      <c r="U71" s="174"/>
      <c r="V71" s="362"/>
      <c r="W71" s="368"/>
      <c r="X71" s="368"/>
      <c r="Y71" s="470"/>
      <c r="AC71" s="36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68"/>
      <c r="B72" s="469"/>
      <c r="C72" s="11" t="s">
        <v>15</v>
      </c>
      <c r="D72" s="400" t="str">
        <f>(IFERROR(VLOOKUP(A72,List!$H$1:$I$2804,2,FALSE),""))</f>
        <v/>
      </c>
      <c r="E72" s="400"/>
      <c r="F72" s="400"/>
      <c r="G72" s="400"/>
      <c r="H72" s="108"/>
      <c r="I72" s="174"/>
      <c r="J72" s="174"/>
      <c r="K72" s="109"/>
      <c r="L72" s="108"/>
      <c r="M72" s="174"/>
      <c r="N72" s="174"/>
      <c r="O72" s="109"/>
      <c r="P72" s="108"/>
      <c r="Q72" s="174"/>
      <c r="R72" s="174"/>
      <c r="S72" s="176"/>
      <c r="T72" s="174"/>
      <c r="U72" s="174"/>
      <c r="V72" s="362"/>
      <c r="W72" s="368"/>
      <c r="X72" s="368"/>
      <c r="Y72" s="470"/>
      <c r="AC72" s="36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68"/>
      <c r="B73" s="469"/>
      <c r="C73" s="11" t="s">
        <v>15</v>
      </c>
      <c r="D73" s="400" t="str">
        <f>(IFERROR(VLOOKUP(A73,List!$H$1:$I$2804,2,FALSE),""))</f>
        <v/>
      </c>
      <c r="E73" s="400"/>
      <c r="F73" s="400"/>
      <c r="G73" s="400"/>
      <c r="H73" s="108"/>
      <c r="I73" s="174"/>
      <c r="J73" s="174"/>
      <c r="K73" s="109"/>
      <c r="L73" s="108"/>
      <c r="M73" s="174"/>
      <c r="N73" s="174"/>
      <c r="O73" s="109"/>
      <c r="P73" s="108"/>
      <c r="Q73" s="174"/>
      <c r="R73" s="174"/>
      <c r="S73" s="176"/>
      <c r="T73" s="174"/>
      <c r="U73" s="174"/>
      <c r="V73" s="362"/>
      <c r="W73" s="368"/>
      <c r="X73" s="368"/>
      <c r="Y73" s="470"/>
      <c r="AC73" s="36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68"/>
      <c r="B74" s="469"/>
      <c r="C74" s="11" t="s">
        <v>15</v>
      </c>
      <c r="D74" s="400" t="str">
        <f>(IFERROR(VLOOKUP(A74,List!$H$1:$I$2804,2,FALSE),""))</f>
        <v/>
      </c>
      <c r="E74" s="400"/>
      <c r="F74" s="400"/>
      <c r="G74" s="400"/>
      <c r="H74" s="108"/>
      <c r="I74" s="174"/>
      <c r="J74" s="174"/>
      <c r="K74" s="109"/>
      <c r="L74" s="108"/>
      <c r="M74" s="174"/>
      <c r="N74" s="174"/>
      <c r="O74" s="109"/>
      <c r="P74" s="108"/>
      <c r="Q74" s="174"/>
      <c r="R74" s="174"/>
      <c r="S74" s="176"/>
      <c r="T74" s="174"/>
      <c r="U74" s="174"/>
      <c r="V74" s="362"/>
      <c r="W74" s="368"/>
      <c r="X74" s="368"/>
      <c r="Y74" s="470"/>
      <c r="AC74" s="36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68"/>
      <c r="B75" s="469"/>
      <c r="C75" s="11" t="s">
        <v>15</v>
      </c>
      <c r="D75" s="400" t="str">
        <f>(IFERROR(VLOOKUP(A75,List!$H$1:$I$2804,2,FALSE),""))</f>
        <v/>
      </c>
      <c r="E75" s="400"/>
      <c r="F75" s="400"/>
      <c r="G75" s="400"/>
      <c r="H75" s="108"/>
      <c r="I75" s="174"/>
      <c r="J75" s="174"/>
      <c r="K75" s="109"/>
      <c r="L75" s="108"/>
      <c r="M75" s="174"/>
      <c r="N75" s="174"/>
      <c r="O75" s="109"/>
      <c r="P75" s="108"/>
      <c r="Q75" s="174"/>
      <c r="R75" s="174"/>
      <c r="S75" s="176"/>
      <c r="T75" s="174"/>
      <c r="U75" s="174"/>
      <c r="V75" s="362"/>
      <c r="W75" s="368"/>
      <c r="X75" s="368"/>
      <c r="Y75" s="470"/>
      <c r="AC75" s="36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68"/>
      <c r="B76" s="469"/>
      <c r="C76" s="11" t="s">
        <v>15</v>
      </c>
      <c r="D76" s="400" t="str">
        <f>(IFERROR(VLOOKUP(A76,List!$H$1:$I$2804,2,FALSE),""))</f>
        <v/>
      </c>
      <c r="E76" s="400"/>
      <c r="F76" s="400"/>
      <c r="G76" s="400"/>
      <c r="H76" s="108"/>
      <c r="I76" s="174"/>
      <c r="J76" s="174"/>
      <c r="K76" s="109"/>
      <c r="L76" s="108"/>
      <c r="M76" s="174"/>
      <c r="N76" s="174"/>
      <c r="O76" s="109"/>
      <c r="P76" s="108"/>
      <c r="Q76" s="174"/>
      <c r="R76" s="174"/>
      <c r="S76" s="176"/>
      <c r="T76" s="174"/>
      <c r="U76" s="174"/>
      <c r="V76" s="362"/>
      <c r="W76" s="368"/>
      <c r="X76" s="368"/>
      <c r="Y76" s="470"/>
      <c r="AC76" s="36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68"/>
      <c r="B77" s="469"/>
      <c r="C77" s="11" t="s">
        <v>15</v>
      </c>
      <c r="D77" s="400" t="str">
        <f>(IFERROR(VLOOKUP(A77,List!$H$1:$I$2804,2,FALSE),""))</f>
        <v/>
      </c>
      <c r="E77" s="400"/>
      <c r="F77" s="400"/>
      <c r="G77" s="400"/>
      <c r="H77" s="108"/>
      <c r="I77" s="174"/>
      <c r="J77" s="174"/>
      <c r="K77" s="109"/>
      <c r="L77" s="108"/>
      <c r="M77" s="174"/>
      <c r="N77" s="174"/>
      <c r="O77" s="109"/>
      <c r="P77" s="108"/>
      <c r="Q77" s="174"/>
      <c r="R77" s="174"/>
      <c r="S77" s="176"/>
      <c r="T77" s="174"/>
      <c r="U77" s="174"/>
      <c r="V77" s="362"/>
      <c r="W77" s="368"/>
      <c r="X77" s="368"/>
      <c r="Y77" s="470"/>
      <c r="AC77" s="36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68"/>
      <c r="B78" s="469"/>
      <c r="C78" s="11" t="s">
        <v>15</v>
      </c>
      <c r="D78" s="400" t="str">
        <f>(IFERROR(VLOOKUP(A78,List!$H$1:$I$2804,2,FALSE),""))</f>
        <v/>
      </c>
      <c r="E78" s="400"/>
      <c r="F78" s="400"/>
      <c r="G78" s="400"/>
      <c r="H78" s="108"/>
      <c r="I78" s="174"/>
      <c r="J78" s="174"/>
      <c r="K78" s="109"/>
      <c r="L78" s="108"/>
      <c r="M78" s="174"/>
      <c r="N78" s="174"/>
      <c r="O78" s="109"/>
      <c r="P78" s="108"/>
      <c r="Q78" s="174"/>
      <c r="R78" s="174"/>
      <c r="S78" s="176"/>
      <c r="T78" s="174"/>
      <c r="U78" s="174"/>
      <c r="V78" s="362"/>
      <c r="W78" s="368"/>
      <c r="X78" s="368"/>
      <c r="Y78" s="470"/>
      <c r="AC78" s="36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68"/>
      <c r="B79" s="469"/>
      <c r="C79" s="11" t="s">
        <v>15</v>
      </c>
      <c r="D79" s="400" t="str">
        <f>(IFERROR(VLOOKUP(A79,List!$H$1:$I$2804,2,FALSE),""))</f>
        <v/>
      </c>
      <c r="E79" s="400"/>
      <c r="F79" s="400"/>
      <c r="G79" s="400"/>
      <c r="H79" s="108"/>
      <c r="I79" s="174"/>
      <c r="J79" s="174"/>
      <c r="K79" s="109"/>
      <c r="L79" s="108"/>
      <c r="M79" s="174"/>
      <c r="N79" s="174"/>
      <c r="O79" s="109"/>
      <c r="P79" s="108"/>
      <c r="Q79" s="174"/>
      <c r="R79" s="174"/>
      <c r="S79" s="176"/>
      <c r="T79" s="174"/>
      <c r="U79" s="174"/>
      <c r="V79" s="362"/>
      <c r="W79" s="368"/>
      <c r="X79" s="368"/>
      <c r="Y79" s="470"/>
      <c r="AC79" s="36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68"/>
      <c r="B80" s="469"/>
      <c r="C80" s="11" t="s">
        <v>15</v>
      </c>
      <c r="D80" s="400" t="str">
        <f>(IFERROR(VLOOKUP(A80,List!$H$1:$I$2804,2,FALSE),""))</f>
        <v/>
      </c>
      <c r="E80" s="400"/>
      <c r="F80" s="400"/>
      <c r="G80" s="400"/>
      <c r="H80" s="108"/>
      <c r="I80" s="174"/>
      <c r="J80" s="174"/>
      <c r="K80" s="109"/>
      <c r="L80" s="108"/>
      <c r="M80" s="174"/>
      <c r="N80" s="174"/>
      <c r="O80" s="109"/>
      <c r="P80" s="108"/>
      <c r="Q80" s="174"/>
      <c r="R80" s="174"/>
      <c r="S80" s="176"/>
      <c r="T80" s="174"/>
      <c r="U80" s="174"/>
      <c r="V80" s="362"/>
      <c r="W80" s="368"/>
      <c r="X80" s="368"/>
      <c r="Y80" s="470"/>
      <c r="AC80" s="36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68"/>
      <c r="B81" s="469"/>
      <c r="C81" s="11" t="s">
        <v>15</v>
      </c>
      <c r="D81" s="400" t="str">
        <f>(IFERROR(VLOOKUP(A81,List!$H$1:$I$2804,2,FALSE),""))</f>
        <v/>
      </c>
      <c r="E81" s="400"/>
      <c r="F81" s="400"/>
      <c r="G81" s="400"/>
      <c r="H81" s="108"/>
      <c r="I81" s="174"/>
      <c r="J81" s="174"/>
      <c r="K81" s="109"/>
      <c r="L81" s="108"/>
      <c r="M81" s="174"/>
      <c r="N81" s="174"/>
      <c r="O81" s="109"/>
      <c r="P81" s="108"/>
      <c r="Q81" s="174"/>
      <c r="R81" s="174"/>
      <c r="S81" s="176"/>
      <c r="T81" s="174"/>
      <c r="U81" s="174"/>
      <c r="V81" s="362"/>
      <c r="W81" s="368"/>
      <c r="X81" s="368"/>
      <c r="Y81" s="470"/>
      <c r="AC81" s="36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68"/>
      <c r="B82" s="469"/>
      <c r="C82" s="11" t="s">
        <v>15</v>
      </c>
      <c r="D82" s="400" t="str">
        <f>(IFERROR(VLOOKUP(A82,List!$H$1:$I$2804,2,FALSE),""))</f>
        <v/>
      </c>
      <c r="E82" s="400"/>
      <c r="F82" s="400"/>
      <c r="G82" s="400"/>
      <c r="H82" s="108"/>
      <c r="I82" s="174"/>
      <c r="J82" s="174"/>
      <c r="K82" s="109"/>
      <c r="L82" s="108"/>
      <c r="M82" s="174"/>
      <c r="N82" s="174"/>
      <c r="O82" s="109"/>
      <c r="P82" s="108"/>
      <c r="Q82" s="174"/>
      <c r="R82" s="174"/>
      <c r="S82" s="176"/>
      <c r="T82" s="174"/>
      <c r="U82" s="174"/>
      <c r="V82" s="362"/>
      <c r="W82" s="368"/>
      <c r="X82" s="368"/>
      <c r="Y82" s="470"/>
      <c r="AC82" s="36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68"/>
      <c r="B83" s="469"/>
      <c r="C83" s="11" t="s">
        <v>15</v>
      </c>
      <c r="D83" s="400" t="str">
        <f>(IFERROR(VLOOKUP(A83,List!$H$1:$I$2804,2,FALSE),""))</f>
        <v/>
      </c>
      <c r="E83" s="400"/>
      <c r="F83" s="400"/>
      <c r="G83" s="400"/>
      <c r="H83" s="108"/>
      <c r="I83" s="174"/>
      <c r="J83" s="174"/>
      <c r="K83" s="109"/>
      <c r="L83" s="108"/>
      <c r="M83" s="174"/>
      <c r="N83" s="174"/>
      <c r="O83" s="109"/>
      <c r="P83" s="108"/>
      <c r="Q83" s="174"/>
      <c r="R83" s="174"/>
      <c r="S83" s="176"/>
      <c r="T83" s="174"/>
      <c r="U83" s="174"/>
      <c r="V83" s="362"/>
      <c r="W83" s="368"/>
      <c r="X83" s="368"/>
      <c r="Y83" s="470"/>
      <c r="AC83" s="36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68"/>
      <c r="B84" s="469"/>
      <c r="C84" s="11" t="s">
        <v>15</v>
      </c>
      <c r="D84" s="400" t="str">
        <f>(IFERROR(VLOOKUP(A84,List!$H$1:$I$2804,2,FALSE),""))</f>
        <v/>
      </c>
      <c r="E84" s="400"/>
      <c r="F84" s="400"/>
      <c r="G84" s="400"/>
      <c r="H84" s="108"/>
      <c r="I84" s="174"/>
      <c r="J84" s="174"/>
      <c r="K84" s="109"/>
      <c r="L84" s="108"/>
      <c r="M84" s="174"/>
      <c r="N84" s="174"/>
      <c r="O84" s="109"/>
      <c r="P84" s="108"/>
      <c r="Q84" s="174"/>
      <c r="R84" s="174"/>
      <c r="S84" s="176"/>
      <c r="T84" s="174"/>
      <c r="U84" s="174"/>
      <c r="V84" s="362"/>
      <c r="W84" s="368"/>
      <c r="X84" s="368"/>
      <c r="Y84" s="470"/>
      <c r="AC84" s="36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68"/>
      <c r="B85" s="469"/>
      <c r="C85" s="11" t="s">
        <v>15</v>
      </c>
      <c r="D85" s="471" t="str">
        <f>(IFERROR(VLOOKUP(A85,List!$H$1:$I$2804,2,FALSE),""))</f>
        <v/>
      </c>
      <c r="E85" s="472"/>
      <c r="F85" s="472"/>
      <c r="G85" s="543"/>
      <c r="H85" s="110"/>
      <c r="I85" s="102"/>
      <c r="J85" s="102"/>
      <c r="K85" s="111"/>
      <c r="L85" s="110"/>
      <c r="M85" s="102"/>
      <c r="N85" s="102"/>
      <c r="O85" s="111"/>
      <c r="P85" s="110"/>
      <c r="Q85" s="102"/>
      <c r="R85" s="102"/>
      <c r="S85" s="32"/>
      <c r="T85" s="174"/>
      <c r="U85" s="174"/>
      <c r="V85" s="544"/>
      <c r="W85" s="473"/>
      <c r="X85" s="473"/>
      <c r="Y85" s="474"/>
      <c r="AC85" s="36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4"/>
      <c r="B86" s="444"/>
      <c r="C86" s="445" t="s">
        <v>2892</v>
      </c>
      <c r="D86" s="446"/>
      <c r="E86" s="446"/>
      <c r="F86" s="446"/>
      <c r="G86" s="447"/>
      <c r="H86" s="212">
        <f>SUM(H58:H85)</f>
        <v>0</v>
      </c>
      <c r="I86" s="213">
        <f t="shared" ref="I86:S86" si="1">SUM(I58:I85)</f>
        <v>0</v>
      </c>
      <c r="J86" s="213">
        <f t="shared" si="1"/>
        <v>0</v>
      </c>
      <c r="K86" s="214">
        <f t="shared" si="1"/>
        <v>0</v>
      </c>
      <c r="L86" s="215">
        <f t="shared" si="1"/>
        <v>0</v>
      </c>
      <c r="M86" s="213">
        <f t="shared" si="1"/>
        <v>0</v>
      </c>
      <c r="N86" s="213">
        <f t="shared" si="1"/>
        <v>0</v>
      </c>
      <c r="O86" s="214">
        <f t="shared" si="1"/>
        <v>0</v>
      </c>
      <c r="P86" s="216">
        <f t="shared" si="1"/>
        <v>0</v>
      </c>
      <c r="Q86" s="116">
        <f t="shared" si="1"/>
        <v>0</v>
      </c>
      <c r="R86" s="116">
        <f t="shared" si="1"/>
        <v>0</v>
      </c>
      <c r="S86" s="117">
        <f t="shared" si="1"/>
        <v>0</v>
      </c>
      <c r="T86" s="30"/>
      <c r="U86" s="30"/>
      <c r="V86" s="30"/>
      <c r="W86" s="30"/>
      <c r="X86" s="115"/>
      <c r="Y86" s="112"/>
    </row>
    <row r="87" spans="1:32" ht="15.75" thickTop="1">
      <c r="A87" s="80" t="s">
        <v>2862</v>
      </c>
      <c r="B87" s="81"/>
      <c r="C87" s="113"/>
      <c r="D87" s="184"/>
      <c r="E87" s="450" t="s">
        <v>2863</v>
      </c>
      <c r="F87" s="450"/>
      <c r="G87" s="450"/>
      <c r="H87" s="559"/>
      <c r="I87" s="560"/>
      <c r="J87" s="560"/>
      <c r="K87" s="560"/>
      <c r="L87" s="560"/>
      <c r="M87" s="560"/>
      <c r="N87" s="560"/>
      <c r="O87" s="560"/>
      <c r="P87" s="561"/>
      <c r="Q87" s="450" t="s">
        <v>2899</v>
      </c>
      <c r="R87" s="450"/>
      <c r="S87" s="450"/>
      <c r="T87" s="532" t="s">
        <v>2870</v>
      </c>
      <c r="U87" s="533"/>
      <c r="V87" s="534" t="s">
        <v>2884</v>
      </c>
      <c r="W87" s="96" t="s">
        <v>2883</v>
      </c>
      <c r="X87" s="462" t="s">
        <v>2894</v>
      </c>
      <c r="Y87" s="97"/>
      <c r="AC87" s="36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65" t="s">
        <v>2864</v>
      </c>
      <c r="B88" s="66"/>
      <c r="C88" s="67"/>
      <c r="D88" s="463"/>
      <c r="E88" s="464"/>
      <c r="F88" s="464"/>
      <c r="G88" s="464"/>
      <c r="H88" s="562"/>
      <c r="I88" s="563"/>
      <c r="J88" s="563"/>
      <c r="K88" s="563"/>
      <c r="L88" s="563"/>
      <c r="M88" s="563"/>
      <c r="N88" s="563"/>
      <c r="O88" s="563"/>
      <c r="P88" s="564"/>
      <c r="Q88" s="545"/>
      <c r="R88" s="546"/>
      <c r="S88" s="546"/>
      <c r="T88" s="466"/>
      <c r="U88" s="464"/>
      <c r="V88" s="535"/>
      <c r="W88" s="225"/>
      <c r="X88" s="462"/>
      <c r="Y88" s="99"/>
      <c r="AC88" s="36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68" t="s">
        <v>2865</v>
      </c>
      <c r="B89" s="69"/>
      <c r="C89" s="66"/>
      <c r="D89" s="464"/>
      <c r="E89" s="464"/>
      <c r="F89" s="464"/>
      <c r="G89" s="464"/>
      <c r="H89" s="562"/>
      <c r="I89" s="563"/>
      <c r="J89" s="563"/>
      <c r="K89" s="563"/>
      <c r="L89" s="563"/>
      <c r="M89" s="563"/>
      <c r="N89" s="563"/>
      <c r="O89" s="563"/>
      <c r="P89" s="564"/>
      <c r="Q89" s="545"/>
      <c r="R89" s="546"/>
      <c r="S89" s="546"/>
      <c r="T89" s="464"/>
      <c r="U89" s="464"/>
      <c r="V89" s="535"/>
      <c r="W89" s="98"/>
      <c r="X89" s="467"/>
      <c r="Y89" s="99"/>
      <c r="AC89" s="36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68" t="s">
        <v>2866</v>
      </c>
      <c r="B90" s="70"/>
      <c r="C90" s="66"/>
      <c r="D90" s="464"/>
      <c r="E90" s="464"/>
      <c r="F90" s="464"/>
      <c r="G90" s="464"/>
      <c r="H90" s="562"/>
      <c r="I90" s="563"/>
      <c r="J90" s="563"/>
      <c r="K90" s="563"/>
      <c r="L90" s="563"/>
      <c r="M90" s="563"/>
      <c r="N90" s="563"/>
      <c r="O90" s="563"/>
      <c r="P90" s="564"/>
      <c r="Q90" s="545"/>
      <c r="R90" s="546"/>
      <c r="S90" s="546"/>
      <c r="T90" s="464"/>
      <c r="U90" s="464"/>
      <c r="V90" s="535"/>
      <c r="W90" s="98"/>
      <c r="X90" s="467"/>
      <c r="Y90" s="99"/>
      <c r="AC90" s="36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71" t="s">
        <v>2867</v>
      </c>
      <c r="B91" s="72"/>
      <c r="C91" s="73"/>
      <c r="D91" s="465"/>
      <c r="E91" s="465"/>
      <c r="F91" s="465"/>
      <c r="G91" s="465"/>
      <c r="H91" s="565"/>
      <c r="I91" s="566"/>
      <c r="J91" s="566"/>
      <c r="K91" s="566"/>
      <c r="L91" s="566"/>
      <c r="M91" s="566"/>
      <c r="N91" s="566"/>
      <c r="O91" s="566"/>
      <c r="P91" s="567"/>
      <c r="Q91" s="547"/>
      <c r="R91" s="548"/>
      <c r="S91" s="548"/>
      <c r="T91" s="465"/>
      <c r="U91" s="465"/>
      <c r="V91" s="79"/>
      <c r="W91" s="526" t="s">
        <v>2883</v>
      </c>
      <c r="X91" s="526"/>
      <c r="Y91" s="527"/>
      <c r="AC91" s="36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321" t="s">
        <v>2882</v>
      </c>
      <c r="B92" s="322"/>
      <c r="C92" s="322"/>
      <c r="D92" s="322"/>
      <c r="E92" s="322"/>
      <c r="F92" s="322"/>
      <c r="G92" s="322"/>
      <c r="H92" s="531"/>
      <c r="I92" s="531"/>
      <c r="J92" s="531"/>
      <c r="K92" s="531"/>
      <c r="L92" s="531"/>
      <c r="M92" s="531"/>
      <c r="N92" s="531"/>
      <c r="O92" s="531"/>
      <c r="P92" s="531"/>
      <c r="Q92" s="322"/>
      <c r="R92" s="322"/>
      <c r="S92" s="322"/>
      <c r="T92" s="322"/>
      <c r="U92" s="322"/>
      <c r="V92" s="322"/>
      <c r="W92" s="322"/>
      <c r="X92" s="322"/>
      <c r="Y92" s="324"/>
      <c r="AC92" s="36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165" t="s">
        <v>5</v>
      </c>
      <c r="B93" s="259"/>
      <c r="C93" s="260"/>
      <c r="D93" s="260" t="s">
        <v>2847</v>
      </c>
      <c r="E93" s="514"/>
      <c r="F93" s="515"/>
      <c r="G93" s="515"/>
      <c r="H93" s="515"/>
      <c r="I93" s="515"/>
      <c r="J93" s="515"/>
      <c r="K93" s="515"/>
      <c r="L93" s="515"/>
      <c r="M93" s="515"/>
      <c r="N93" s="515"/>
      <c r="O93" s="515"/>
      <c r="P93" s="515"/>
      <c r="Q93" s="515"/>
      <c r="R93" s="515"/>
      <c r="S93" s="515"/>
      <c r="T93" s="515"/>
      <c r="U93" s="515"/>
      <c r="V93" s="515"/>
      <c r="W93" s="515"/>
      <c r="X93" s="515"/>
      <c r="Y93" s="516"/>
    </row>
    <row r="94" spans="1:32" ht="16.5" thickTop="1" thickBot="1">
      <c r="A94" s="167" t="s">
        <v>10</v>
      </c>
      <c r="B94" s="56"/>
      <c r="C94" s="11" t="s">
        <v>15</v>
      </c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7"/>
      <c r="X94" s="7"/>
      <c r="Y94" s="6"/>
      <c r="AC94" s="36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165" t="s">
        <v>2873</v>
      </c>
      <c r="B95" s="10"/>
      <c r="C95" s="11" t="s">
        <v>15</v>
      </c>
      <c r="D95" s="217" t="s">
        <v>2869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6"/>
      <c r="AC95" s="36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19" t="s">
        <v>33</v>
      </c>
      <c r="B96" s="521"/>
      <c r="C96" s="521"/>
      <c r="D96" s="521"/>
      <c r="E96" s="521"/>
      <c r="F96" s="522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209" t="s">
        <v>2885</v>
      </c>
      <c r="W96" s="13"/>
      <c r="X96" s="13"/>
      <c r="Y96" s="14"/>
      <c r="AC96" s="36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07" t="s">
        <v>35</v>
      </c>
      <c r="B97" s="206"/>
      <c r="C97" s="11" t="s">
        <v>15</v>
      </c>
      <c r="D97" s="498"/>
      <c r="E97" s="499"/>
      <c r="F97" s="500"/>
      <c r="G97" s="512"/>
      <c r="H97" s="512"/>
      <c r="I97" s="512"/>
      <c r="J97" s="512"/>
      <c r="K97" s="512"/>
      <c r="L97" s="512"/>
      <c r="M97" s="512"/>
      <c r="N97" s="512"/>
      <c r="O97" s="512"/>
      <c r="P97" s="512"/>
      <c r="Q97" s="512"/>
      <c r="R97" s="512"/>
      <c r="S97" s="512"/>
      <c r="T97" s="512"/>
      <c r="U97" s="249"/>
      <c r="V97" s="489"/>
      <c r="W97" s="490"/>
      <c r="X97" s="490"/>
      <c r="Y97" s="491"/>
      <c r="AC97" s="36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08" t="s">
        <v>2889</v>
      </c>
      <c r="B98" s="206"/>
      <c r="C98" s="11" t="s">
        <v>15</v>
      </c>
      <c r="D98" s="501"/>
      <c r="E98" s="502"/>
      <c r="F98" s="503"/>
      <c r="G98" s="504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249"/>
      <c r="V98" s="492"/>
      <c r="W98" s="493"/>
      <c r="X98" s="493"/>
      <c r="Y98" s="494"/>
      <c r="AC98" s="36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508" t="s">
        <v>2871</v>
      </c>
      <c r="B99" s="510"/>
      <c r="C99" s="510"/>
      <c r="D99" s="510"/>
      <c r="E99" s="510"/>
      <c r="F99" s="510"/>
      <c r="G99" s="506"/>
      <c r="H99" s="507"/>
      <c r="I99" s="507"/>
      <c r="J99" s="507"/>
      <c r="K99" s="507"/>
      <c r="L99" s="507"/>
      <c r="M99" s="507"/>
      <c r="N99" s="507"/>
      <c r="O99" s="507"/>
      <c r="P99" s="507"/>
      <c r="Q99" s="507"/>
      <c r="R99" s="507"/>
      <c r="S99" s="507"/>
      <c r="T99" s="507"/>
      <c r="U99" s="249"/>
      <c r="V99" s="492"/>
      <c r="W99" s="493"/>
      <c r="X99" s="493"/>
      <c r="Y99" s="494"/>
      <c r="AC99" s="36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509"/>
      <c r="B100" s="511"/>
      <c r="C100" s="511"/>
      <c r="D100" s="511"/>
      <c r="E100" s="511"/>
      <c r="F100" s="511"/>
      <c r="G100" s="506"/>
      <c r="H100" s="507"/>
      <c r="I100" s="507"/>
      <c r="J100" s="507"/>
      <c r="K100" s="507"/>
      <c r="L100" s="507"/>
      <c r="M100" s="507"/>
      <c r="N100" s="507"/>
      <c r="O100" s="507"/>
      <c r="P100" s="507"/>
      <c r="Q100" s="507"/>
      <c r="R100" s="507"/>
      <c r="S100" s="507"/>
      <c r="T100" s="507"/>
      <c r="U100" s="249"/>
      <c r="V100" s="495"/>
      <c r="W100" s="496"/>
      <c r="X100" s="496"/>
      <c r="Y100" s="497"/>
      <c r="AC100" s="36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557" t="s">
        <v>2843</v>
      </c>
      <c r="B101" s="480"/>
      <c r="C101" s="480"/>
      <c r="D101" s="480"/>
      <c r="E101" s="480"/>
      <c r="F101" s="480"/>
      <c r="G101" s="558"/>
      <c r="H101" s="476" t="s">
        <v>2890</v>
      </c>
      <c r="I101" s="477"/>
      <c r="J101" s="477"/>
      <c r="K101" s="478"/>
      <c r="L101" s="476" t="s">
        <v>2891</v>
      </c>
      <c r="M101" s="477"/>
      <c r="N101" s="477"/>
      <c r="O101" s="478"/>
      <c r="P101" s="476" t="s">
        <v>2914</v>
      </c>
      <c r="Q101" s="477"/>
      <c r="R101" s="477"/>
      <c r="S101" s="478"/>
      <c r="T101" s="479"/>
      <c r="U101" s="480"/>
      <c r="V101" s="480"/>
      <c r="W101" s="480"/>
      <c r="X101" s="480"/>
      <c r="Y101" s="481"/>
    </row>
    <row r="102" spans="1:32" ht="15.75" thickBot="1">
      <c r="A102" s="482" t="s">
        <v>2872</v>
      </c>
      <c r="B102" s="483"/>
      <c r="C102" s="484"/>
      <c r="D102" s="485" t="s">
        <v>2844</v>
      </c>
      <c r="E102" s="475"/>
      <c r="F102" s="475"/>
      <c r="G102" s="536"/>
      <c r="H102" s="106" t="s">
        <v>2852</v>
      </c>
      <c r="I102" s="182" t="s">
        <v>2850</v>
      </c>
      <c r="J102" s="182" t="s">
        <v>2849</v>
      </c>
      <c r="K102" s="107" t="s">
        <v>2851</v>
      </c>
      <c r="L102" s="106" t="s">
        <v>2852</v>
      </c>
      <c r="M102" s="182" t="s">
        <v>2850</v>
      </c>
      <c r="N102" s="182" t="s">
        <v>2849</v>
      </c>
      <c r="O102" s="107" t="s">
        <v>2851</v>
      </c>
      <c r="P102" s="106" t="s">
        <v>2852</v>
      </c>
      <c r="Q102" s="182" t="s">
        <v>2850</v>
      </c>
      <c r="R102" s="182" t="s">
        <v>2849</v>
      </c>
      <c r="S102" s="107" t="s">
        <v>2851</v>
      </c>
      <c r="T102" s="74"/>
      <c r="U102" s="74"/>
      <c r="V102" s="164"/>
      <c r="W102" s="536" t="s">
        <v>2845</v>
      </c>
      <c r="X102" s="539"/>
      <c r="Y102" s="540"/>
      <c r="AC102" s="36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68"/>
      <c r="B103" s="469"/>
      <c r="C103" s="11" t="s">
        <v>15</v>
      </c>
      <c r="D103" s="400" t="str">
        <f>(IFERROR(VLOOKUP(A103,List!$H$1:$I$2804,2,FALSE),""))</f>
        <v/>
      </c>
      <c r="E103" s="400"/>
      <c r="F103" s="400"/>
      <c r="G103" s="400"/>
      <c r="H103" s="108"/>
      <c r="I103" s="174"/>
      <c r="J103" s="174"/>
      <c r="K103" s="109"/>
      <c r="L103" s="108"/>
      <c r="M103" s="174"/>
      <c r="N103" s="174"/>
      <c r="O103" s="109"/>
      <c r="P103" s="108"/>
      <c r="Q103" s="174"/>
      <c r="R103" s="174"/>
      <c r="S103" s="109"/>
      <c r="T103" s="174"/>
      <c r="U103" s="174"/>
      <c r="V103" s="362"/>
      <c r="W103" s="368"/>
      <c r="X103" s="368"/>
      <c r="Y103" s="470"/>
      <c r="AC103" s="36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68"/>
      <c r="B104" s="469"/>
      <c r="C104" s="11" t="s">
        <v>15</v>
      </c>
      <c r="D104" s="400" t="str">
        <f>(IFERROR(VLOOKUP(A104,List!$H$1:$I$2804,2,FALSE),""))</f>
        <v/>
      </c>
      <c r="E104" s="400"/>
      <c r="F104" s="400"/>
      <c r="G104" s="400"/>
      <c r="H104" s="108"/>
      <c r="I104" s="174"/>
      <c r="J104" s="174"/>
      <c r="K104" s="109"/>
      <c r="L104" s="108"/>
      <c r="M104" s="174"/>
      <c r="N104" s="174"/>
      <c r="O104" s="109"/>
      <c r="P104" s="108"/>
      <c r="Q104" s="174"/>
      <c r="R104" s="174"/>
      <c r="S104" s="109"/>
      <c r="T104" s="174"/>
      <c r="U104" s="174"/>
      <c r="V104" s="362"/>
      <c r="W104" s="368"/>
      <c r="X104" s="368"/>
      <c r="Y104" s="470"/>
      <c r="AC104" s="36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68"/>
      <c r="B105" s="469"/>
      <c r="C105" s="11" t="s">
        <v>15</v>
      </c>
      <c r="D105" s="400" t="str">
        <f>(IFERROR(VLOOKUP(A105,List!$H$1:$I$2804,2,FALSE),""))</f>
        <v/>
      </c>
      <c r="E105" s="400"/>
      <c r="F105" s="400"/>
      <c r="G105" s="400"/>
      <c r="H105" s="108"/>
      <c r="I105" s="174"/>
      <c r="J105" s="174"/>
      <c r="K105" s="109"/>
      <c r="L105" s="108"/>
      <c r="M105" s="174"/>
      <c r="N105" s="174"/>
      <c r="O105" s="109"/>
      <c r="P105" s="108"/>
      <c r="Q105" s="174"/>
      <c r="R105" s="174"/>
      <c r="S105" s="109"/>
      <c r="T105" s="174"/>
      <c r="U105" s="174"/>
      <c r="V105" s="362"/>
      <c r="W105" s="368"/>
      <c r="X105" s="368"/>
      <c r="Y105" s="470"/>
      <c r="AC105" s="36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68"/>
      <c r="B106" s="469"/>
      <c r="C106" s="11" t="s">
        <v>15</v>
      </c>
      <c r="D106" s="400" t="str">
        <f>(IFERROR(VLOOKUP(A106,List!$H$1:$I$2804,2,FALSE),""))</f>
        <v/>
      </c>
      <c r="E106" s="400"/>
      <c r="F106" s="400"/>
      <c r="G106" s="400"/>
      <c r="H106" s="108"/>
      <c r="I106" s="174"/>
      <c r="J106" s="174"/>
      <c r="K106" s="109"/>
      <c r="L106" s="108"/>
      <c r="M106" s="174"/>
      <c r="N106" s="174"/>
      <c r="O106" s="109"/>
      <c r="P106" s="108"/>
      <c r="Q106" s="174"/>
      <c r="R106" s="174"/>
      <c r="S106" s="109"/>
      <c r="T106" s="174"/>
      <c r="U106" s="174"/>
      <c r="V106" s="362"/>
      <c r="W106" s="368"/>
      <c r="X106" s="368"/>
      <c r="Y106" s="470"/>
      <c r="AC106" s="36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68"/>
      <c r="B107" s="469"/>
      <c r="C107" s="11" t="s">
        <v>15</v>
      </c>
      <c r="D107" s="400" t="str">
        <f>(IFERROR(VLOOKUP(A107,List!$H$1:$I$2804,2,FALSE),""))</f>
        <v/>
      </c>
      <c r="E107" s="400"/>
      <c r="F107" s="400"/>
      <c r="G107" s="400"/>
      <c r="H107" s="108"/>
      <c r="I107" s="174"/>
      <c r="J107" s="174"/>
      <c r="K107" s="109"/>
      <c r="L107" s="108"/>
      <c r="M107" s="174"/>
      <c r="N107" s="174"/>
      <c r="O107" s="109"/>
      <c r="P107" s="108"/>
      <c r="Q107" s="174"/>
      <c r="R107" s="174"/>
      <c r="S107" s="109"/>
      <c r="T107" s="174"/>
      <c r="U107" s="174"/>
      <c r="V107" s="362"/>
      <c r="W107" s="368"/>
      <c r="X107" s="368"/>
      <c r="Y107" s="470"/>
      <c r="AC107" s="36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68"/>
      <c r="B108" s="469"/>
      <c r="C108" s="11" t="s">
        <v>15</v>
      </c>
      <c r="D108" s="400" t="str">
        <f>(IFERROR(VLOOKUP(A108,List!$H$1:$I$2804,2,FALSE),""))</f>
        <v/>
      </c>
      <c r="E108" s="400"/>
      <c r="F108" s="400"/>
      <c r="G108" s="400"/>
      <c r="H108" s="108"/>
      <c r="I108" s="174"/>
      <c r="J108" s="174"/>
      <c r="K108" s="109"/>
      <c r="L108" s="108"/>
      <c r="M108" s="174"/>
      <c r="N108" s="174"/>
      <c r="O108" s="109"/>
      <c r="P108" s="108"/>
      <c r="Q108" s="174"/>
      <c r="R108" s="174"/>
      <c r="S108" s="109"/>
      <c r="T108" s="174"/>
      <c r="U108" s="174"/>
      <c r="V108" s="362"/>
      <c r="W108" s="368"/>
      <c r="X108" s="368"/>
      <c r="Y108" s="470"/>
      <c r="AC108" s="36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68"/>
      <c r="B109" s="469"/>
      <c r="C109" s="11" t="s">
        <v>15</v>
      </c>
      <c r="D109" s="400" t="str">
        <f>(IFERROR(VLOOKUP(A109,List!$H$1:$I$2804,2,FALSE),""))</f>
        <v/>
      </c>
      <c r="E109" s="400"/>
      <c r="F109" s="400"/>
      <c r="G109" s="400"/>
      <c r="H109" s="108"/>
      <c r="I109" s="174"/>
      <c r="J109" s="174"/>
      <c r="K109" s="109"/>
      <c r="L109" s="108"/>
      <c r="M109" s="174"/>
      <c r="N109" s="174"/>
      <c r="O109" s="109"/>
      <c r="P109" s="108"/>
      <c r="Q109" s="174"/>
      <c r="R109" s="174"/>
      <c r="S109" s="109"/>
      <c r="T109" s="174"/>
      <c r="U109" s="174"/>
      <c r="V109" s="362"/>
      <c r="W109" s="368"/>
      <c r="X109" s="368"/>
      <c r="Y109" s="470"/>
      <c r="AC109" s="36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68"/>
      <c r="B110" s="469"/>
      <c r="C110" s="11" t="s">
        <v>15</v>
      </c>
      <c r="D110" s="400" t="str">
        <f>(IFERROR(VLOOKUP(A110,List!$H$1:$I$2804,2,FALSE),""))</f>
        <v/>
      </c>
      <c r="E110" s="400"/>
      <c r="F110" s="400"/>
      <c r="G110" s="400"/>
      <c r="H110" s="108"/>
      <c r="I110" s="174"/>
      <c r="J110" s="174"/>
      <c r="K110" s="109"/>
      <c r="L110" s="108"/>
      <c r="M110" s="174"/>
      <c r="N110" s="174"/>
      <c r="O110" s="109"/>
      <c r="P110" s="108"/>
      <c r="Q110" s="174"/>
      <c r="R110" s="174"/>
      <c r="S110" s="109"/>
      <c r="T110" s="174"/>
      <c r="U110" s="174"/>
      <c r="V110" s="362"/>
      <c r="W110" s="368"/>
      <c r="X110" s="368"/>
      <c r="Y110" s="470"/>
      <c r="AC110" s="36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68"/>
      <c r="B111" s="469"/>
      <c r="C111" s="11" t="s">
        <v>15</v>
      </c>
      <c r="D111" s="400" t="str">
        <f>(IFERROR(VLOOKUP(A111,List!$H$1:$I$2804,2,FALSE),""))</f>
        <v/>
      </c>
      <c r="E111" s="400"/>
      <c r="F111" s="400"/>
      <c r="G111" s="400"/>
      <c r="H111" s="108"/>
      <c r="I111" s="174"/>
      <c r="J111" s="174"/>
      <c r="K111" s="109"/>
      <c r="L111" s="108"/>
      <c r="M111" s="174"/>
      <c r="N111" s="174"/>
      <c r="O111" s="109"/>
      <c r="P111" s="108"/>
      <c r="Q111" s="174"/>
      <c r="R111" s="174"/>
      <c r="S111" s="109"/>
      <c r="T111" s="174"/>
      <c r="U111" s="174"/>
      <c r="V111" s="362"/>
      <c r="W111" s="368"/>
      <c r="X111" s="368"/>
      <c r="Y111" s="470"/>
      <c r="AC111" s="36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68"/>
      <c r="B112" s="469"/>
      <c r="C112" s="11" t="s">
        <v>15</v>
      </c>
      <c r="D112" s="400" t="str">
        <f>(IFERROR(VLOOKUP(A112,List!$H$1:$I$2804,2,FALSE),""))</f>
        <v/>
      </c>
      <c r="E112" s="400"/>
      <c r="F112" s="400"/>
      <c r="G112" s="400"/>
      <c r="H112" s="108"/>
      <c r="I112" s="174"/>
      <c r="J112" s="174"/>
      <c r="K112" s="109"/>
      <c r="L112" s="108"/>
      <c r="M112" s="174"/>
      <c r="N112" s="174"/>
      <c r="O112" s="109"/>
      <c r="P112" s="108"/>
      <c r="Q112" s="174"/>
      <c r="R112" s="174"/>
      <c r="S112" s="109"/>
      <c r="T112" s="174"/>
      <c r="U112" s="174"/>
      <c r="V112" s="362"/>
      <c r="W112" s="368"/>
      <c r="X112" s="368"/>
      <c r="Y112" s="470"/>
      <c r="AC112" s="36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68"/>
      <c r="B113" s="469"/>
      <c r="C113" s="11" t="s">
        <v>15</v>
      </c>
      <c r="D113" s="400" t="str">
        <f>(IFERROR(VLOOKUP(A113,List!$H$1:$I$2804,2,FALSE),""))</f>
        <v/>
      </c>
      <c r="E113" s="400"/>
      <c r="F113" s="400"/>
      <c r="G113" s="400"/>
      <c r="H113" s="108"/>
      <c r="I113" s="174"/>
      <c r="J113" s="174"/>
      <c r="K113" s="109"/>
      <c r="L113" s="108"/>
      <c r="M113" s="174"/>
      <c r="N113" s="174"/>
      <c r="O113" s="109"/>
      <c r="P113" s="108"/>
      <c r="Q113" s="174"/>
      <c r="R113" s="174"/>
      <c r="S113" s="109"/>
      <c r="T113" s="174"/>
      <c r="U113" s="174"/>
      <c r="V113" s="362"/>
      <c r="W113" s="368"/>
      <c r="X113" s="368"/>
      <c r="Y113" s="470"/>
      <c r="AC113" s="36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68"/>
      <c r="B114" s="469"/>
      <c r="C114" s="11" t="s">
        <v>15</v>
      </c>
      <c r="D114" s="400" t="str">
        <f>(IFERROR(VLOOKUP(A114,List!$H$1:$I$2804,2,FALSE),""))</f>
        <v/>
      </c>
      <c r="E114" s="400"/>
      <c r="F114" s="400"/>
      <c r="G114" s="400"/>
      <c r="H114" s="108"/>
      <c r="I114" s="174"/>
      <c r="J114" s="174"/>
      <c r="K114" s="109"/>
      <c r="L114" s="108"/>
      <c r="M114" s="174"/>
      <c r="N114" s="174"/>
      <c r="O114" s="109"/>
      <c r="P114" s="108"/>
      <c r="Q114" s="174"/>
      <c r="R114" s="174"/>
      <c r="S114" s="109"/>
      <c r="T114" s="174"/>
      <c r="U114" s="174"/>
      <c r="V114" s="362"/>
      <c r="W114" s="368"/>
      <c r="X114" s="368"/>
      <c r="Y114" s="470"/>
      <c r="AC114" s="36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68"/>
      <c r="B115" s="469"/>
      <c r="C115" s="11" t="s">
        <v>15</v>
      </c>
      <c r="D115" s="400" t="str">
        <f>(IFERROR(VLOOKUP(A115,List!$H$1:$I$2804,2,FALSE),""))</f>
        <v/>
      </c>
      <c r="E115" s="400"/>
      <c r="F115" s="400"/>
      <c r="G115" s="400"/>
      <c r="H115" s="108"/>
      <c r="I115" s="174"/>
      <c r="J115" s="174"/>
      <c r="K115" s="109"/>
      <c r="L115" s="108"/>
      <c r="M115" s="174"/>
      <c r="N115" s="174"/>
      <c r="O115" s="109"/>
      <c r="P115" s="108"/>
      <c r="Q115" s="174"/>
      <c r="R115" s="174"/>
      <c r="S115" s="109"/>
      <c r="T115" s="174"/>
      <c r="U115" s="174"/>
      <c r="V115" s="362"/>
      <c r="W115" s="368"/>
      <c r="X115" s="368"/>
      <c r="Y115" s="470"/>
      <c r="AC115" s="36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68"/>
      <c r="B116" s="469"/>
      <c r="C116" s="11" t="s">
        <v>15</v>
      </c>
      <c r="D116" s="400" t="str">
        <f>(IFERROR(VLOOKUP(A116,List!$H$1:$I$2804,2,FALSE),""))</f>
        <v/>
      </c>
      <c r="E116" s="400"/>
      <c r="F116" s="400"/>
      <c r="G116" s="400"/>
      <c r="H116" s="108"/>
      <c r="I116" s="174"/>
      <c r="J116" s="174"/>
      <c r="K116" s="109"/>
      <c r="L116" s="108"/>
      <c r="M116" s="174"/>
      <c r="N116" s="174"/>
      <c r="O116" s="109"/>
      <c r="P116" s="108"/>
      <c r="Q116" s="174"/>
      <c r="R116" s="174"/>
      <c r="S116" s="109"/>
      <c r="T116" s="174"/>
      <c r="U116" s="174"/>
      <c r="V116" s="362"/>
      <c r="W116" s="368"/>
      <c r="X116" s="368"/>
      <c r="Y116" s="470"/>
      <c r="AC116" s="36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68"/>
      <c r="B117" s="469"/>
      <c r="C117" s="11" t="s">
        <v>15</v>
      </c>
      <c r="D117" s="400" t="str">
        <f>(IFERROR(VLOOKUP(A117,List!$H$1:$I$2804,2,FALSE),""))</f>
        <v/>
      </c>
      <c r="E117" s="400"/>
      <c r="F117" s="400"/>
      <c r="G117" s="400"/>
      <c r="H117" s="108"/>
      <c r="I117" s="174"/>
      <c r="J117" s="174"/>
      <c r="K117" s="109"/>
      <c r="L117" s="108"/>
      <c r="M117" s="174"/>
      <c r="N117" s="174"/>
      <c r="O117" s="109"/>
      <c r="P117" s="108"/>
      <c r="Q117" s="174"/>
      <c r="R117" s="174"/>
      <c r="S117" s="109"/>
      <c r="T117" s="174"/>
      <c r="U117" s="174"/>
      <c r="V117" s="362"/>
      <c r="W117" s="368"/>
      <c r="X117" s="368"/>
      <c r="Y117" s="470"/>
      <c r="AC117" s="36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68"/>
      <c r="B118" s="469"/>
      <c r="C118" s="11" t="s">
        <v>15</v>
      </c>
      <c r="D118" s="400" t="str">
        <f>(IFERROR(VLOOKUP(A118,List!$H$1:$I$2804,2,FALSE),""))</f>
        <v/>
      </c>
      <c r="E118" s="400"/>
      <c r="F118" s="400"/>
      <c r="G118" s="400"/>
      <c r="H118" s="108"/>
      <c r="I118" s="174"/>
      <c r="J118" s="174"/>
      <c r="K118" s="109"/>
      <c r="L118" s="108"/>
      <c r="M118" s="174"/>
      <c r="N118" s="174"/>
      <c r="O118" s="109"/>
      <c r="P118" s="108"/>
      <c r="Q118" s="174"/>
      <c r="R118" s="174"/>
      <c r="S118" s="109"/>
      <c r="T118" s="174"/>
      <c r="U118" s="174"/>
      <c r="V118" s="362"/>
      <c r="W118" s="368"/>
      <c r="X118" s="368"/>
      <c r="Y118" s="470"/>
      <c r="AC118" s="36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68"/>
      <c r="B119" s="469"/>
      <c r="C119" s="11" t="s">
        <v>15</v>
      </c>
      <c r="D119" s="400" t="str">
        <f>(IFERROR(VLOOKUP(A119,List!$H$1:$I$2804,2,FALSE),""))</f>
        <v/>
      </c>
      <c r="E119" s="400"/>
      <c r="F119" s="400"/>
      <c r="G119" s="400"/>
      <c r="H119" s="108"/>
      <c r="I119" s="174"/>
      <c r="J119" s="174"/>
      <c r="K119" s="109"/>
      <c r="L119" s="108"/>
      <c r="M119" s="174"/>
      <c r="N119" s="174"/>
      <c r="O119" s="109"/>
      <c r="P119" s="108"/>
      <c r="Q119" s="174"/>
      <c r="R119" s="174"/>
      <c r="S119" s="109"/>
      <c r="T119" s="174"/>
      <c r="U119" s="174"/>
      <c r="V119" s="362"/>
      <c r="W119" s="368"/>
      <c r="X119" s="368"/>
      <c r="Y119" s="470"/>
      <c r="AC119" s="36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68"/>
      <c r="B120" s="469"/>
      <c r="C120" s="11" t="s">
        <v>15</v>
      </c>
      <c r="D120" s="400" t="str">
        <f>(IFERROR(VLOOKUP(A120,List!$H$1:$I$2804,2,FALSE),""))</f>
        <v/>
      </c>
      <c r="E120" s="400"/>
      <c r="F120" s="400"/>
      <c r="G120" s="400"/>
      <c r="H120" s="108"/>
      <c r="I120" s="174"/>
      <c r="J120" s="174"/>
      <c r="K120" s="109"/>
      <c r="L120" s="108"/>
      <c r="M120" s="174"/>
      <c r="N120" s="174"/>
      <c r="O120" s="109"/>
      <c r="P120" s="108"/>
      <c r="Q120" s="174"/>
      <c r="R120" s="174"/>
      <c r="S120" s="109"/>
      <c r="T120" s="174"/>
      <c r="U120" s="174"/>
      <c r="V120" s="362"/>
      <c r="W120" s="368"/>
      <c r="X120" s="368"/>
      <c r="Y120" s="470"/>
      <c r="AC120" s="36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68"/>
      <c r="B121" s="469"/>
      <c r="C121" s="11" t="s">
        <v>15</v>
      </c>
      <c r="D121" s="400" t="str">
        <f>(IFERROR(VLOOKUP(A121,List!$H$1:$I$2804,2,FALSE),""))</f>
        <v/>
      </c>
      <c r="E121" s="400"/>
      <c r="F121" s="400"/>
      <c r="G121" s="400"/>
      <c r="H121" s="108"/>
      <c r="I121" s="174"/>
      <c r="J121" s="174"/>
      <c r="K121" s="109"/>
      <c r="L121" s="108"/>
      <c r="M121" s="174"/>
      <c r="N121" s="174"/>
      <c r="O121" s="109"/>
      <c r="P121" s="108"/>
      <c r="Q121" s="174"/>
      <c r="R121" s="174"/>
      <c r="S121" s="109"/>
      <c r="T121" s="174"/>
      <c r="U121" s="174"/>
      <c r="V121" s="362"/>
      <c r="W121" s="368"/>
      <c r="X121" s="368"/>
      <c r="Y121" s="470"/>
      <c r="AC121" s="36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68"/>
      <c r="B122" s="469"/>
      <c r="C122" s="11" t="s">
        <v>15</v>
      </c>
      <c r="D122" s="400" t="str">
        <f>(IFERROR(VLOOKUP(A122,List!$H$1:$I$2804,2,FALSE),""))</f>
        <v/>
      </c>
      <c r="E122" s="400"/>
      <c r="F122" s="400"/>
      <c r="G122" s="400"/>
      <c r="H122" s="108"/>
      <c r="I122" s="174"/>
      <c r="J122" s="174"/>
      <c r="K122" s="109"/>
      <c r="L122" s="108"/>
      <c r="M122" s="174"/>
      <c r="N122" s="174"/>
      <c r="O122" s="109"/>
      <c r="P122" s="108"/>
      <c r="Q122" s="174"/>
      <c r="R122" s="174"/>
      <c r="S122" s="109"/>
      <c r="T122" s="174"/>
      <c r="U122" s="174"/>
      <c r="V122" s="362"/>
      <c r="W122" s="368"/>
      <c r="X122" s="368"/>
      <c r="Y122" s="470"/>
      <c r="AC122" s="36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68"/>
      <c r="B123" s="469"/>
      <c r="C123" s="11" t="s">
        <v>15</v>
      </c>
      <c r="D123" s="400" t="str">
        <f>(IFERROR(VLOOKUP(A123,List!$H$1:$I$2804,2,FALSE),""))</f>
        <v/>
      </c>
      <c r="E123" s="400"/>
      <c r="F123" s="400"/>
      <c r="G123" s="400"/>
      <c r="H123" s="108"/>
      <c r="I123" s="174"/>
      <c r="J123" s="174"/>
      <c r="K123" s="109"/>
      <c r="L123" s="108"/>
      <c r="M123" s="174"/>
      <c r="N123" s="174"/>
      <c r="O123" s="109"/>
      <c r="P123" s="108"/>
      <c r="Q123" s="174"/>
      <c r="R123" s="174"/>
      <c r="S123" s="109"/>
      <c r="T123" s="174"/>
      <c r="U123" s="174"/>
      <c r="V123" s="362"/>
      <c r="W123" s="368"/>
      <c r="X123" s="368"/>
      <c r="Y123" s="470"/>
      <c r="AC123" s="36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68"/>
      <c r="B124" s="469"/>
      <c r="C124" s="11" t="s">
        <v>15</v>
      </c>
      <c r="D124" s="400" t="str">
        <f>(IFERROR(VLOOKUP(A124,List!$H$1:$I$2804,2,FALSE),""))</f>
        <v/>
      </c>
      <c r="E124" s="400"/>
      <c r="F124" s="400"/>
      <c r="G124" s="400"/>
      <c r="H124" s="108"/>
      <c r="I124" s="174"/>
      <c r="J124" s="174"/>
      <c r="K124" s="109"/>
      <c r="L124" s="108"/>
      <c r="M124" s="174"/>
      <c r="N124" s="174"/>
      <c r="O124" s="109"/>
      <c r="P124" s="108"/>
      <c r="Q124" s="174"/>
      <c r="R124" s="174"/>
      <c r="S124" s="109"/>
      <c r="T124" s="174"/>
      <c r="U124" s="174"/>
      <c r="V124" s="362"/>
      <c r="W124" s="368"/>
      <c r="X124" s="368"/>
      <c r="Y124" s="470"/>
      <c r="AC124" s="36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68"/>
      <c r="B125" s="469"/>
      <c r="C125" s="11" t="s">
        <v>15</v>
      </c>
      <c r="D125" s="400" t="str">
        <f>(IFERROR(VLOOKUP(A125,List!$H$1:$I$2804,2,FALSE),""))</f>
        <v/>
      </c>
      <c r="E125" s="400"/>
      <c r="F125" s="400"/>
      <c r="G125" s="400"/>
      <c r="H125" s="108"/>
      <c r="I125" s="174"/>
      <c r="J125" s="174"/>
      <c r="K125" s="109"/>
      <c r="L125" s="108"/>
      <c r="M125" s="174"/>
      <c r="N125" s="174"/>
      <c r="O125" s="109"/>
      <c r="P125" s="108"/>
      <c r="Q125" s="174"/>
      <c r="R125" s="174"/>
      <c r="S125" s="109"/>
      <c r="T125" s="174"/>
      <c r="U125" s="174"/>
      <c r="V125" s="362"/>
      <c r="W125" s="368"/>
      <c r="X125" s="368"/>
      <c r="Y125" s="470"/>
      <c r="AC125" s="36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68"/>
      <c r="B126" s="469"/>
      <c r="C126" s="11" t="s">
        <v>15</v>
      </c>
      <c r="D126" s="400" t="str">
        <f>(IFERROR(VLOOKUP(A126,List!$H$1:$I$2804,2,FALSE),""))</f>
        <v/>
      </c>
      <c r="E126" s="400"/>
      <c r="F126" s="400"/>
      <c r="G126" s="400"/>
      <c r="H126" s="108"/>
      <c r="I126" s="174"/>
      <c r="J126" s="174"/>
      <c r="K126" s="109"/>
      <c r="L126" s="108"/>
      <c r="M126" s="174"/>
      <c r="N126" s="174"/>
      <c r="O126" s="109"/>
      <c r="P126" s="108"/>
      <c r="Q126" s="174"/>
      <c r="R126" s="174"/>
      <c r="S126" s="109"/>
      <c r="T126" s="174"/>
      <c r="U126" s="174"/>
      <c r="V126" s="362"/>
      <c r="W126" s="368"/>
      <c r="X126" s="368"/>
      <c r="Y126" s="470"/>
      <c r="AC126" s="36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68"/>
      <c r="B127" s="469"/>
      <c r="C127" s="11" t="s">
        <v>15</v>
      </c>
      <c r="D127" s="400" t="str">
        <f>(IFERROR(VLOOKUP(A127,List!$H$1:$I$2804,2,FALSE),""))</f>
        <v/>
      </c>
      <c r="E127" s="400"/>
      <c r="F127" s="400"/>
      <c r="G127" s="400"/>
      <c r="H127" s="108"/>
      <c r="I127" s="174"/>
      <c r="J127" s="174"/>
      <c r="K127" s="109"/>
      <c r="L127" s="108"/>
      <c r="M127" s="174"/>
      <c r="N127" s="174"/>
      <c r="O127" s="109"/>
      <c r="P127" s="108"/>
      <c r="Q127" s="174"/>
      <c r="R127" s="174"/>
      <c r="S127" s="109"/>
      <c r="T127" s="174"/>
      <c r="U127" s="174"/>
      <c r="V127" s="362"/>
      <c r="W127" s="368"/>
      <c r="X127" s="368"/>
      <c r="Y127" s="470"/>
      <c r="AC127" s="36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68"/>
      <c r="B128" s="469"/>
      <c r="C128" s="11" t="s">
        <v>15</v>
      </c>
      <c r="D128" s="400" t="str">
        <f>(IFERROR(VLOOKUP(A128,List!$H$1:$I$2804,2,FALSE),""))</f>
        <v/>
      </c>
      <c r="E128" s="400"/>
      <c r="F128" s="400"/>
      <c r="G128" s="400"/>
      <c r="H128" s="108"/>
      <c r="I128" s="174"/>
      <c r="J128" s="174"/>
      <c r="K128" s="109"/>
      <c r="L128" s="108"/>
      <c r="M128" s="174"/>
      <c r="N128" s="174"/>
      <c r="O128" s="109"/>
      <c r="P128" s="108"/>
      <c r="Q128" s="174"/>
      <c r="R128" s="174"/>
      <c r="S128" s="109"/>
      <c r="T128" s="174"/>
      <c r="U128" s="174"/>
      <c r="V128" s="362"/>
      <c r="W128" s="368"/>
      <c r="X128" s="368"/>
      <c r="Y128" s="470"/>
      <c r="AC128" s="36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68"/>
      <c r="B129" s="469"/>
      <c r="C129" s="11" t="s">
        <v>15</v>
      </c>
      <c r="D129" s="400" t="str">
        <f>(IFERROR(VLOOKUP(A129,List!$H$1:$I$2804,2,FALSE),""))</f>
        <v/>
      </c>
      <c r="E129" s="400"/>
      <c r="F129" s="400"/>
      <c r="G129" s="400"/>
      <c r="H129" s="108"/>
      <c r="I129" s="174"/>
      <c r="J129" s="174"/>
      <c r="K129" s="109"/>
      <c r="L129" s="108"/>
      <c r="M129" s="174"/>
      <c r="N129" s="174"/>
      <c r="O129" s="109"/>
      <c r="P129" s="108"/>
      <c r="Q129" s="174"/>
      <c r="R129" s="174"/>
      <c r="S129" s="109"/>
      <c r="T129" s="174"/>
      <c r="U129" s="174"/>
      <c r="V129" s="362"/>
      <c r="W129" s="368"/>
      <c r="X129" s="368"/>
      <c r="Y129" s="470"/>
      <c r="AC129" s="36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68"/>
      <c r="B130" s="469"/>
      <c r="C130" s="11" t="s">
        <v>15</v>
      </c>
      <c r="D130" s="471" t="str">
        <f>(IFERROR(VLOOKUP(A130,List!$H$1:$I$2804,2,FALSE),""))</f>
        <v/>
      </c>
      <c r="E130" s="472"/>
      <c r="F130" s="472"/>
      <c r="G130" s="543"/>
      <c r="H130" s="110"/>
      <c r="I130" s="102"/>
      <c r="J130" s="102"/>
      <c r="K130" s="111"/>
      <c r="L130" s="110"/>
      <c r="M130" s="102"/>
      <c r="N130" s="102"/>
      <c r="O130" s="111"/>
      <c r="P130" s="110"/>
      <c r="Q130" s="102"/>
      <c r="R130" s="102"/>
      <c r="S130" s="111"/>
      <c r="T130" s="40"/>
      <c r="U130" s="40"/>
      <c r="V130" s="544"/>
      <c r="W130" s="473"/>
      <c r="X130" s="473"/>
      <c r="Y130" s="474"/>
      <c r="AC130" s="36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555"/>
      <c r="B131" s="555"/>
      <c r="C131" s="445" t="s">
        <v>2892</v>
      </c>
      <c r="D131" s="446"/>
      <c r="E131" s="446"/>
      <c r="F131" s="446"/>
      <c r="G131" s="447"/>
      <c r="H131" s="212">
        <f>SUM(H103:H130)</f>
        <v>0</v>
      </c>
      <c r="I131" s="213">
        <f t="shared" ref="I131:S131" si="2">SUM(I103:I130)</f>
        <v>0</v>
      </c>
      <c r="J131" s="213">
        <f t="shared" si="2"/>
        <v>0</v>
      </c>
      <c r="K131" s="214">
        <f t="shared" si="2"/>
        <v>0</v>
      </c>
      <c r="L131" s="215">
        <f t="shared" si="2"/>
        <v>0</v>
      </c>
      <c r="M131" s="213">
        <f t="shared" si="2"/>
        <v>0</v>
      </c>
      <c r="N131" s="213">
        <f t="shared" si="2"/>
        <v>0</v>
      </c>
      <c r="O131" s="214">
        <f t="shared" si="2"/>
        <v>0</v>
      </c>
      <c r="P131" s="216">
        <f t="shared" si="2"/>
        <v>0</v>
      </c>
      <c r="Q131" s="116">
        <f t="shared" si="2"/>
        <v>0</v>
      </c>
      <c r="R131" s="116">
        <f t="shared" si="2"/>
        <v>0</v>
      </c>
      <c r="S131" s="117">
        <f t="shared" si="2"/>
        <v>0</v>
      </c>
      <c r="T131" s="30"/>
      <c r="U131" s="30"/>
      <c r="V131" s="30"/>
      <c r="W131" s="30"/>
      <c r="X131" s="115"/>
      <c r="Y131" s="112"/>
    </row>
    <row r="132" spans="1:32" ht="15.75" customHeight="1" thickTop="1">
      <c r="A132" s="62" t="s">
        <v>2862</v>
      </c>
      <c r="B132" s="63"/>
      <c r="C132" s="64"/>
      <c r="D132" s="184"/>
      <c r="E132" s="450" t="s">
        <v>2863</v>
      </c>
      <c r="F132" s="450"/>
      <c r="G132" s="450"/>
      <c r="H132" s="559"/>
      <c r="I132" s="560"/>
      <c r="J132" s="560"/>
      <c r="K132" s="560"/>
      <c r="L132" s="560"/>
      <c r="M132" s="560"/>
      <c r="N132" s="560"/>
      <c r="O132" s="560"/>
      <c r="P132" s="561"/>
      <c r="Q132" s="450" t="s">
        <v>2899</v>
      </c>
      <c r="R132" s="450"/>
      <c r="S132" s="450"/>
      <c r="T132" s="184" t="s">
        <v>2870</v>
      </c>
      <c r="U132" s="185"/>
      <c r="V132" s="534" t="s">
        <v>2884</v>
      </c>
      <c r="W132" s="96" t="s">
        <v>2883</v>
      </c>
      <c r="X132" s="462" t="s">
        <v>2894</v>
      </c>
      <c r="Y132" s="97"/>
      <c r="AC132" s="36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65" t="s">
        <v>2864</v>
      </c>
      <c r="B133" s="66"/>
      <c r="C133" s="67"/>
      <c r="D133" s="463"/>
      <c r="E133" s="464"/>
      <c r="F133" s="464"/>
      <c r="G133" s="464"/>
      <c r="H133" s="562"/>
      <c r="I133" s="563"/>
      <c r="J133" s="563"/>
      <c r="K133" s="563"/>
      <c r="L133" s="563"/>
      <c r="M133" s="563"/>
      <c r="N133" s="563"/>
      <c r="O133" s="563"/>
      <c r="P133" s="564"/>
      <c r="Q133" s="546"/>
      <c r="R133" s="546"/>
      <c r="S133" s="546"/>
      <c r="T133" s="188"/>
      <c r="U133" s="188"/>
      <c r="V133" s="552"/>
      <c r="W133" s="98"/>
      <c r="X133" s="462"/>
      <c r="Y133" s="99"/>
      <c r="AC133" s="36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68" t="s">
        <v>2865</v>
      </c>
      <c r="B134" s="69"/>
      <c r="C134" s="66"/>
      <c r="D134" s="464"/>
      <c r="E134" s="464"/>
      <c r="F134" s="464"/>
      <c r="G134" s="464"/>
      <c r="H134" s="562"/>
      <c r="I134" s="563"/>
      <c r="J134" s="563"/>
      <c r="K134" s="563"/>
      <c r="L134" s="563"/>
      <c r="M134" s="563"/>
      <c r="N134" s="563"/>
      <c r="O134" s="563"/>
      <c r="P134" s="564"/>
      <c r="Q134" s="546"/>
      <c r="R134" s="546"/>
      <c r="S134" s="546"/>
      <c r="T134" s="188"/>
      <c r="U134" s="188"/>
      <c r="V134" s="552"/>
      <c r="W134" s="98"/>
      <c r="X134" s="467"/>
      <c r="Y134" s="99"/>
      <c r="AC134" s="36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68" t="s">
        <v>2866</v>
      </c>
      <c r="B135" s="70"/>
      <c r="C135" s="66"/>
      <c r="D135" s="464"/>
      <c r="E135" s="464"/>
      <c r="F135" s="464"/>
      <c r="G135" s="464"/>
      <c r="H135" s="562"/>
      <c r="I135" s="563"/>
      <c r="J135" s="563"/>
      <c r="K135" s="563"/>
      <c r="L135" s="563"/>
      <c r="M135" s="563"/>
      <c r="N135" s="563"/>
      <c r="O135" s="563"/>
      <c r="P135" s="564"/>
      <c r="Q135" s="546"/>
      <c r="R135" s="546"/>
      <c r="S135" s="546"/>
      <c r="T135" s="188"/>
      <c r="U135" s="188"/>
      <c r="V135" s="552"/>
      <c r="W135" s="98"/>
      <c r="X135" s="467"/>
      <c r="Y135" s="99"/>
      <c r="AC135" s="36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71" t="s">
        <v>2867</v>
      </c>
      <c r="B136" s="72"/>
      <c r="C136" s="73"/>
      <c r="D136" s="465"/>
      <c r="E136" s="465"/>
      <c r="F136" s="465"/>
      <c r="G136" s="465"/>
      <c r="H136" s="571"/>
      <c r="I136" s="572"/>
      <c r="J136" s="572"/>
      <c r="K136" s="572"/>
      <c r="L136" s="572"/>
      <c r="M136" s="572"/>
      <c r="N136" s="572"/>
      <c r="O136" s="572"/>
      <c r="P136" s="573"/>
      <c r="Q136" s="556"/>
      <c r="R136" s="556"/>
      <c r="S136" s="556"/>
      <c r="T136" s="189"/>
      <c r="U136" s="189"/>
      <c r="V136" s="82"/>
      <c r="W136" s="553" t="s">
        <v>2883</v>
      </c>
      <c r="X136" s="553"/>
      <c r="Y136" s="554"/>
      <c r="AC136" s="36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24.75" thickTop="1" thickBot="1">
      <c r="A137" s="409" t="s">
        <v>2925</v>
      </c>
      <c r="B137" s="513"/>
      <c r="C137" s="513"/>
      <c r="D137" s="513"/>
      <c r="E137" s="513"/>
      <c r="F137" s="513"/>
      <c r="G137" s="513"/>
      <c r="H137" s="513"/>
      <c r="I137" s="513"/>
      <c r="J137" s="513"/>
      <c r="K137" s="513"/>
      <c r="L137" s="513"/>
      <c r="M137" s="513"/>
      <c r="N137" s="513"/>
      <c r="O137" s="513"/>
      <c r="P137" s="513"/>
      <c r="Q137" s="513"/>
      <c r="R137" s="513"/>
      <c r="S137" s="513"/>
      <c r="T137" s="513"/>
      <c r="U137" s="513"/>
      <c r="V137" s="513"/>
      <c r="W137" s="513"/>
      <c r="X137" s="513"/>
      <c r="Y137" s="513"/>
      <c r="AC137" s="36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165" t="s">
        <v>5</v>
      </c>
      <c r="B138" s="259"/>
      <c r="C138" s="260"/>
      <c r="D138" s="260" t="s">
        <v>2847</v>
      </c>
      <c r="E138" s="514"/>
      <c r="F138" s="515"/>
      <c r="G138" s="515"/>
      <c r="H138" s="515"/>
      <c r="I138" s="515"/>
      <c r="J138" s="515"/>
      <c r="K138" s="515"/>
      <c r="L138" s="515"/>
      <c r="M138" s="515"/>
      <c r="N138" s="515"/>
      <c r="O138" s="515"/>
      <c r="P138" s="515"/>
      <c r="Q138" s="515"/>
      <c r="R138" s="515"/>
      <c r="S138" s="515"/>
      <c r="T138" s="515"/>
      <c r="U138" s="515"/>
      <c r="V138" s="515"/>
      <c r="W138" s="515"/>
      <c r="X138" s="515"/>
      <c r="Y138" s="516"/>
      <c r="AC138" s="36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166" t="s">
        <v>2895</v>
      </c>
      <c r="B139" s="125"/>
      <c r="C139" s="11" t="s">
        <v>15</v>
      </c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244"/>
      <c r="X139" s="244"/>
      <c r="Y139" s="245"/>
      <c r="AC139" s="36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165" t="s">
        <v>2873</v>
      </c>
      <c r="B140" s="126"/>
      <c r="C140" s="11" t="s">
        <v>15</v>
      </c>
      <c r="D140" s="217" t="s">
        <v>2869</v>
      </c>
      <c r="E140" s="517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245"/>
      <c r="AC140" s="36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19" t="s">
        <v>33</v>
      </c>
      <c r="B141" s="520"/>
      <c r="C141" s="521"/>
      <c r="D141" s="521"/>
      <c r="E141" s="521"/>
      <c r="F141" s="522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23" t="s">
        <v>2885</v>
      </c>
      <c r="W141" s="524"/>
      <c r="X141" s="524"/>
      <c r="Y141" s="525"/>
      <c r="AC141" s="36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07" t="s">
        <v>35</v>
      </c>
      <c r="B142" s="206"/>
      <c r="C142" s="11" t="s">
        <v>15</v>
      </c>
      <c r="D142" s="498"/>
      <c r="E142" s="499"/>
      <c r="F142" s="500"/>
      <c r="G142" s="512"/>
      <c r="H142" s="512"/>
      <c r="I142" s="512"/>
      <c r="J142" s="512"/>
      <c r="K142" s="512"/>
      <c r="L142" s="512"/>
      <c r="M142" s="512"/>
      <c r="N142" s="512"/>
      <c r="O142" s="512"/>
      <c r="P142" s="512"/>
      <c r="Q142" s="512"/>
      <c r="R142" s="512"/>
      <c r="S142" s="512"/>
      <c r="T142" s="512"/>
      <c r="U142" s="249"/>
      <c r="V142" s="489"/>
      <c r="W142" s="490"/>
      <c r="X142" s="490"/>
      <c r="Y142" s="491"/>
      <c r="AC142" s="36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08" t="s">
        <v>2889</v>
      </c>
      <c r="B143" s="206"/>
      <c r="C143" s="11" t="s">
        <v>15</v>
      </c>
      <c r="D143" s="501"/>
      <c r="E143" s="502"/>
      <c r="F143" s="503"/>
      <c r="G143" s="504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249"/>
      <c r="V143" s="492"/>
      <c r="W143" s="493"/>
      <c r="X143" s="493"/>
      <c r="Y143" s="494"/>
      <c r="AC143" s="36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508" t="s">
        <v>2871</v>
      </c>
      <c r="B144" s="510"/>
      <c r="C144" s="510"/>
      <c r="D144" s="510"/>
      <c r="E144" s="510"/>
      <c r="F144" s="510"/>
      <c r="G144" s="506"/>
      <c r="H144" s="507"/>
      <c r="I144" s="507"/>
      <c r="J144" s="507"/>
      <c r="K144" s="507"/>
      <c r="L144" s="507"/>
      <c r="M144" s="507"/>
      <c r="N144" s="507"/>
      <c r="O144" s="507"/>
      <c r="P144" s="507"/>
      <c r="Q144" s="507"/>
      <c r="R144" s="507"/>
      <c r="S144" s="507"/>
      <c r="T144" s="507"/>
      <c r="U144" s="249"/>
      <c r="V144" s="492"/>
      <c r="W144" s="493"/>
      <c r="X144" s="493"/>
      <c r="Y144" s="494"/>
      <c r="AC144" s="36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509"/>
      <c r="B145" s="511"/>
      <c r="C145" s="511"/>
      <c r="D145" s="511"/>
      <c r="E145" s="511"/>
      <c r="F145" s="511"/>
      <c r="G145" s="506"/>
      <c r="H145" s="507"/>
      <c r="I145" s="507"/>
      <c r="J145" s="507"/>
      <c r="K145" s="507"/>
      <c r="L145" s="507"/>
      <c r="M145" s="507"/>
      <c r="N145" s="507"/>
      <c r="O145" s="507"/>
      <c r="P145" s="507"/>
      <c r="Q145" s="507"/>
      <c r="R145" s="507"/>
      <c r="S145" s="507"/>
      <c r="T145" s="507"/>
      <c r="U145" s="249"/>
      <c r="V145" s="495"/>
      <c r="W145" s="496"/>
      <c r="X145" s="496"/>
      <c r="Y145" s="497"/>
      <c r="AC145" s="36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557" t="s">
        <v>2843</v>
      </c>
      <c r="B146" s="480"/>
      <c r="C146" s="480"/>
      <c r="D146" s="480"/>
      <c r="E146" s="480"/>
      <c r="F146" s="480"/>
      <c r="G146" s="558"/>
      <c r="H146" s="476" t="s">
        <v>2890</v>
      </c>
      <c r="I146" s="477"/>
      <c r="J146" s="477"/>
      <c r="K146" s="478"/>
      <c r="L146" s="476" t="s">
        <v>2891</v>
      </c>
      <c r="M146" s="477"/>
      <c r="N146" s="477"/>
      <c r="O146" s="478"/>
      <c r="P146" s="476" t="s">
        <v>2914</v>
      </c>
      <c r="Q146" s="477"/>
      <c r="R146" s="477"/>
      <c r="S146" s="478"/>
      <c r="T146" s="479"/>
      <c r="U146" s="480"/>
      <c r="V146" s="480"/>
      <c r="W146" s="480"/>
      <c r="X146" s="480"/>
      <c r="Y146" s="481"/>
      <c r="AC146" s="36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82" t="s">
        <v>2872</v>
      </c>
      <c r="B147" s="483"/>
      <c r="C147" s="484"/>
      <c r="D147" s="485" t="s">
        <v>2844</v>
      </c>
      <c r="E147" s="475"/>
      <c r="F147" s="475"/>
      <c r="G147" s="475"/>
      <c r="H147" s="106" t="s">
        <v>2852</v>
      </c>
      <c r="I147" s="248" t="s">
        <v>2850</v>
      </c>
      <c r="J147" s="248" t="s">
        <v>2849</v>
      </c>
      <c r="K147" s="107" t="s">
        <v>2851</v>
      </c>
      <c r="L147" s="106" t="s">
        <v>2852</v>
      </c>
      <c r="M147" s="248" t="s">
        <v>2850</v>
      </c>
      <c r="N147" s="248" t="s">
        <v>2849</v>
      </c>
      <c r="O147" s="107" t="s">
        <v>2851</v>
      </c>
      <c r="P147" s="106" t="s">
        <v>2852</v>
      </c>
      <c r="Q147" s="248" t="s">
        <v>2850</v>
      </c>
      <c r="R147" s="248" t="s">
        <v>2849</v>
      </c>
      <c r="S147" s="107" t="s">
        <v>2851</v>
      </c>
      <c r="T147" s="104"/>
      <c r="U147" s="74"/>
      <c r="V147" s="486" t="s">
        <v>2845</v>
      </c>
      <c r="W147" s="487"/>
      <c r="X147" s="487"/>
      <c r="Y147" s="488"/>
      <c r="AC147" s="36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68"/>
      <c r="B148" s="469"/>
      <c r="C148" s="11" t="s">
        <v>15</v>
      </c>
      <c r="D148" s="400" t="str">
        <f>(IFERROR(VLOOKUP(A148,List!$H$1:$I$2804,2,FALSE),""))</f>
        <v/>
      </c>
      <c r="E148" s="400"/>
      <c r="F148" s="400"/>
      <c r="G148" s="362"/>
      <c r="H148" s="108"/>
      <c r="I148" s="229"/>
      <c r="J148" s="229"/>
      <c r="K148" s="109"/>
      <c r="L148" s="108"/>
      <c r="M148" s="229"/>
      <c r="N148" s="229"/>
      <c r="O148" s="109"/>
      <c r="P148" s="108"/>
      <c r="Q148" s="229"/>
      <c r="R148" s="229"/>
      <c r="S148" s="109"/>
      <c r="T148" s="234"/>
      <c r="U148" s="233"/>
      <c r="V148" s="368"/>
      <c r="W148" s="368"/>
      <c r="X148" s="368"/>
      <c r="Y148" s="470"/>
      <c r="AC148" s="36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68"/>
      <c r="B149" s="469"/>
      <c r="C149" s="11" t="s">
        <v>15</v>
      </c>
      <c r="D149" s="400" t="str">
        <f>(IFERROR(VLOOKUP(A149,List!$H$1:$I$2804,2,FALSE),""))</f>
        <v/>
      </c>
      <c r="E149" s="400"/>
      <c r="F149" s="400"/>
      <c r="G149" s="362"/>
      <c r="H149" s="108"/>
      <c r="I149" s="229"/>
      <c r="J149" s="229"/>
      <c r="K149" s="109"/>
      <c r="L149" s="108"/>
      <c r="M149" s="229"/>
      <c r="N149" s="229"/>
      <c r="O149" s="109"/>
      <c r="P149" s="108"/>
      <c r="Q149" s="229"/>
      <c r="R149" s="229"/>
      <c r="S149" s="109"/>
      <c r="T149" s="234"/>
      <c r="U149" s="233"/>
      <c r="V149" s="368"/>
      <c r="W149" s="368"/>
      <c r="X149" s="368"/>
      <c r="Y149" s="470"/>
      <c r="AC149" s="36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68"/>
      <c r="B150" s="469"/>
      <c r="C150" s="11" t="s">
        <v>15</v>
      </c>
      <c r="D150" s="400" t="str">
        <f>(IFERROR(VLOOKUP(A150,List!$H$1:$I$2804,2,FALSE),""))</f>
        <v/>
      </c>
      <c r="E150" s="400"/>
      <c r="F150" s="400"/>
      <c r="G150" s="362"/>
      <c r="H150" s="108"/>
      <c r="I150" s="229"/>
      <c r="J150" s="229"/>
      <c r="K150" s="109"/>
      <c r="L150" s="108"/>
      <c r="M150" s="229"/>
      <c r="N150" s="229"/>
      <c r="O150" s="109"/>
      <c r="P150" s="108"/>
      <c r="Q150" s="229"/>
      <c r="R150" s="229"/>
      <c r="S150" s="109"/>
      <c r="T150" s="234"/>
      <c r="U150" s="233"/>
      <c r="V150" s="368"/>
      <c r="W150" s="368"/>
      <c r="X150" s="368"/>
      <c r="Y150" s="470"/>
      <c r="AC150" s="36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68"/>
      <c r="B151" s="469"/>
      <c r="C151" s="11" t="s">
        <v>15</v>
      </c>
      <c r="D151" s="400" t="str">
        <f>(IFERROR(VLOOKUP(A151,List!$H$1:$I$2804,2,FALSE),""))</f>
        <v/>
      </c>
      <c r="E151" s="400"/>
      <c r="F151" s="400"/>
      <c r="G151" s="362"/>
      <c r="H151" s="108"/>
      <c r="I151" s="229"/>
      <c r="J151" s="229"/>
      <c r="K151" s="109"/>
      <c r="L151" s="108"/>
      <c r="M151" s="229"/>
      <c r="N151" s="229"/>
      <c r="O151" s="109"/>
      <c r="P151" s="108"/>
      <c r="Q151" s="229"/>
      <c r="R151" s="229"/>
      <c r="S151" s="109"/>
      <c r="T151" s="234"/>
      <c r="U151" s="233"/>
      <c r="V151" s="368"/>
      <c r="W151" s="368"/>
      <c r="X151" s="368"/>
      <c r="Y151" s="470"/>
      <c r="AC151" s="36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68"/>
      <c r="B152" s="469"/>
      <c r="C152" s="11" t="s">
        <v>15</v>
      </c>
      <c r="D152" s="400" t="str">
        <f>(IFERROR(VLOOKUP(A152,List!$H$1:$I$2804,2,FALSE),""))</f>
        <v/>
      </c>
      <c r="E152" s="400"/>
      <c r="F152" s="400"/>
      <c r="G152" s="362"/>
      <c r="H152" s="108"/>
      <c r="I152" s="229"/>
      <c r="J152" s="229"/>
      <c r="K152" s="109"/>
      <c r="L152" s="108"/>
      <c r="M152" s="229"/>
      <c r="N152" s="229"/>
      <c r="O152" s="109"/>
      <c r="P152" s="108"/>
      <c r="Q152" s="229"/>
      <c r="R152" s="229"/>
      <c r="S152" s="109"/>
      <c r="T152" s="234"/>
      <c r="U152" s="233"/>
      <c r="V152" s="368"/>
      <c r="W152" s="368"/>
      <c r="X152" s="368"/>
      <c r="Y152" s="470"/>
      <c r="AC152" s="36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68"/>
      <c r="B153" s="469"/>
      <c r="C153" s="11" t="s">
        <v>15</v>
      </c>
      <c r="D153" s="400" t="str">
        <f>(IFERROR(VLOOKUP(A153,List!$H$1:$I$2804,2,FALSE),""))</f>
        <v/>
      </c>
      <c r="E153" s="400"/>
      <c r="F153" s="400"/>
      <c r="G153" s="362"/>
      <c r="H153" s="108"/>
      <c r="I153" s="229"/>
      <c r="J153" s="229"/>
      <c r="K153" s="109"/>
      <c r="L153" s="108"/>
      <c r="M153" s="229"/>
      <c r="N153" s="229"/>
      <c r="O153" s="109"/>
      <c r="P153" s="108"/>
      <c r="Q153" s="229"/>
      <c r="R153" s="229"/>
      <c r="S153" s="109"/>
      <c r="T153" s="234"/>
      <c r="U153" s="233"/>
      <c r="V153" s="368"/>
      <c r="W153" s="368"/>
      <c r="X153" s="368"/>
      <c r="Y153" s="470"/>
      <c r="AC153" s="36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68"/>
      <c r="B154" s="469"/>
      <c r="C154" s="11" t="s">
        <v>15</v>
      </c>
      <c r="D154" s="400" t="str">
        <f>(IFERROR(VLOOKUP(A154,List!$H$1:$I$2804,2,FALSE),""))</f>
        <v/>
      </c>
      <c r="E154" s="400"/>
      <c r="F154" s="400"/>
      <c r="G154" s="362"/>
      <c r="H154" s="108"/>
      <c r="I154" s="229"/>
      <c r="J154" s="229"/>
      <c r="K154" s="109"/>
      <c r="L154" s="108"/>
      <c r="M154" s="229"/>
      <c r="N154" s="229"/>
      <c r="O154" s="109"/>
      <c r="P154" s="108"/>
      <c r="Q154" s="229"/>
      <c r="R154" s="229"/>
      <c r="S154" s="109"/>
      <c r="T154" s="234"/>
      <c r="U154" s="233"/>
      <c r="V154" s="368"/>
      <c r="W154" s="368"/>
      <c r="X154" s="368"/>
      <c r="Y154" s="470"/>
      <c r="AC154" s="36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68"/>
      <c r="B155" s="469"/>
      <c r="C155" s="11" t="s">
        <v>15</v>
      </c>
      <c r="D155" s="400" t="str">
        <f>(IFERROR(VLOOKUP(A155,List!$H$1:$I$2804,2,FALSE),""))</f>
        <v/>
      </c>
      <c r="E155" s="400"/>
      <c r="F155" s="400"/>
      <c r="G155" s="362"/>
      <c r="H155" s="108"/>
      <c r="I155" s="229"/>
      <c r="J155" s="229"/>
      <c r="K155" s="109"/>
      <c r="L155" s="108"/>
      <c r="M155" s="229"/>
      <c r="N155" s="229"/>
      <c r="O155" s="109"/>
      <c r="P155" s="108"/>
      <c r="Q155" s="229"/>
      <c r="R155" s="229"/>
      <c r="S155" s="109"/>
      <c r="T155" s="234"/>
      <c r="U155" s="233"/>
      <c r="V155" s="368"/>
      <c r="W155" s="368"/>
      <c r="X155" s="368"/>
      <c r="Y155" s="470"/>
      <c r="AC155" s="36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68"/>
      <c r="B156" s="469"/>
      <c r="C156" s="11" t="s">
        <v>15</v>
      </c>
      <c r="D156" s="400" t="str">
        <f>(IFERROR(VLOOKUP(A156,List!$H$1:$I$2804,2,FALSE),""))</f>
        <v/>
      </c>
      <c r="E156" s="400"/>
      <c r="F156" s="400"/>
      <c r="G156" s="362"/>
      <c r="H156" s="108"/>
      <c r="I156" s="229"/>
      <c r="J156" s="229"/>
      <c r="K156" s="109"/>
      <c r="L156" s="108"/>
      <c r="M156" s="229"/>
      <c r="N156" s="229"/>
      <c r="O156" s="109"/>
      <c r="P156" s="108"/>
      <c r="Q156" s="229"/>
      <c r="R156" s="229"/>
      <c r="S156" s="109"/>
      <c r="T156" s="234"/>
      <c r="U156" s="233"/>
      <c r="V156" s="368"/>
      <c r="W156" s="368"/>
      <c r="X156" s="368"/>
      <c r="Y156" s="470"/>
      <c r="AC156" s="36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68"/>
      <c r="B157" s="469"/>
      <c r="C157" s="11" t="s">
        <v>15</v>
      </c>
      <c r="D157" s="400" t="str">
        <f>(IFERROR(VLOOKUP(A157,List!$H$1:$I$2804,2,FALSE),""))</f>
        <v/>
      </c>
      <c r="E157" s="400"/>
      <c r="F157" s="400"/>
      <c r="G157" s="362"/>
      <c r="H157" s="108"/>
      <c r="I157" s="229"/>
      <c r="J157" s="229"/>
      <c r="K157" s="109"/>
      <c r="L157" s="108"/>
      <c r="M157" s="229"/>
      <c r="N157" s="229"/>
      <c r="O157" s="109"/>
      <c r="P157" s="108"/>
      <c r="Q157" s="229"/>
      <c r="R157" s="229"/>
      <c r="S157" s="109"/>
      <c r="T157" s="234"/>
      <c r="U157" s="233"/>
      <c r="V157" s="368"/>
      <c r="W157" s="368"/>
      <c r="X157" s="368"/>
      <c r="Y157" s="470"/>
      <c r="AC157" s="36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68"/>
      <c r="B158" s="469"/>
      <c r="C158" s="11" t="s">
        <v>15</v>
      </c>
      <c r="D158" s="400" t="str">
        <f>(IFERROR(VLOOKUP(A158,List!$H$1:$I$2804,2,FALSE),""))</f>
        <v/>
      </c>
      <c r="E158" s="400"/>
      <c r="F158" s="400"/>
      <c r="G158" s="362"/>
      <c r="H158" s="108"/>
      <c r="I158" s="229"/>
      <c r="J158" s="229"/>
      <c r="K158" s="109"/>
      <c r="L158" s="108"/>
      <c r="M158" s="229"/>
      <c r="N158" s="229"/>
      <c r="O158" s="109"/>
      <c r="P158" s="108"/>
      <c r="Q158" s="229"/>
      <c r="R158" s="229"/>
      <c r="S158" s="109"/>
      <c r="T158" s="234"/>
      <c r="U158" s="233"/>
      <c r="V158" s="368"/>
      <c r="W158" s="368"/>
      <c r="X158" s="368"/>
      <c r="Y158" s="470"/>
      <c r="AC158" s="36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68"/>
      <c r="B159" s="469"/>
      <c r="C159" s="11" t="s">
        <v>15</v>
      </c>
      <c r="D159" s="400" t="str">
        <f>(IFERROR(VLOOKUP(A159,List!$H$1:$I$2804,2,FALSE),""))</f>
        <v/>
      </c>
      <c r="E159" s="400"/>
      <c r="F159" s="400"/>
      <c r="G159" s="362"/>
      <c r="H159" s="108"/>
      <c r="I159" s="229"/>
      <c r="J159" s="229"/>
      <c r="K159" s="109"/>
      <c r="L159" s="108"/>
      <c r="M159" s="229"/>
      <c r="N159" s="229"/>
      <c r="O159" s="109"/>
      <c r="P159" s="108"/>
      <c r="Q159" s="229"/>
      <c r="R159" s="229"/>
      <c r="S159" s="109"/>
      <c r="T159" s="234"/>
      <c r="U159" s="233"/>
      <c r="V159" s="368"/>
      <c r="W159" s="368"/>
      <c r="X159" s="368"/>
      <c r="Y159" s="470"/>
      <c r="AC159" s="36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68"/>
      <c r="B160" s="469"/>
      <c r="C160" s="11" t="s">
        <v>15</v>
      </c>
      <c r="D160" s="400" t="str">
        <f>(IFERROR(VLOOKUP(A160,List!$H$1:$I$2804,2,FALSE),""))</f>
        <v/>
      </c>
      <c r="E160" s="400"/>
      <c r="F160" s="400"/>
      <c r="G160" s="362"/>
      <c r="H160" s="108"/>
      <c r="I160" s="229"/>
      <c r="J160" s="229"/>
      <c r="K160" s="109"/>
      <c r="L160" s="108"/>
      <c r="M160" s="229"/>
      <c r="N160" s="229"/>
      <c r="O160" s="109"/>
      <c r="P160" s="108"/>
      <c r="Q160" s="229"/>
      <c r="R160" s="229"/>
      <c r="S160" s="109"/>
      <c r="T160" s="234"/>
      <c r="U160" s="233"/>
      <c r="V160" s="368"/>
      <c r="W160" s="368"/>
      <c r="X160" s="368"/>
      <c r="Y160" s="470"/>
      <c r="AC160" s="36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68"/>
      <c r="B161" s="469"/>
      <c r="C161" s="11" t="s">
        <v>15</v>
      </c>
      <c r="D161" s="400" t="str">
        <f>(IFERROR(VLOOKUP(A161,List!$H$1:$I$2804,2,FALSE),""))</f>
        <v/>
      </c>
      <c r="E161" s="400"/>
      <c r="F161" s="400"/>
      <c r="G161" s="362"/>
      <c r="H161" s="108"/>
      <c r="I161" s="229"/>
      <c r="J161" s="229"/>
      <c r="K161" s="109"/>
      <c r="L161" s="108"/>
      <c r="M161" s="229"/>
      <c r="N161" s="229"/>
      <c r="O161" s="109"/>
      <c r="P161" s="108"/>
      <c r="Q161" s="229"/>
      <c r="R161" s="229"/>
      <c r="S161" s="109"/>
      <c r="T161" s="234"/>
      <c r="U161" s="233"/>
      <c r="V161" s="368"/>
      <c r="W161" s="368"/>
      <c r="X161" s="368"/>
      <c r="Y161" s="470"/>
      <c r="AC161" s="36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68"/>
      <c r="B162" s="469"/>
      <c r="C162" s="11" t="s">
        <v>15</v>
      </c>
      <c r="D162" s="400" t="str">
        <f>(IFERROR(VLOOKUP(A162,List!$H$1:$I$2804,2,FALSE),""))</f>
        <v/>
      </c>
      <c r="E162" s="400"/>
      <c r="F162" s="400"/>
      <c r="G162" s="362"/>
      <c r="H162" s="108"/>
      <c r="I162" s="229"/>
      <c r="J162" s="229"/>
      <c r="K162" s="109"/>
      <c r="L162" s="108"/>
      <c r="M162" s="229"/>
      <c r="N162" s="229"/>
      <c r="O162" s="109"/>
      <c r="P162" s="108"/>
      <c r="Q162" s="229"/>
      <c r="R162" s="229"/>
      <c r="S162" s="109"/>
      <c r="T162" s="234"/>
      <c r="U162" s="233"/>
      <c r="V162" s="368"/>
      <c r="W162" s="368"/>
      <c r="X162" s="368"/>
      <c r="Y162" s="470"/>
      <c r="AC162" s="36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68"/>
      <c r="B163" s="469"/>
      <c r="C163" s="11" t="s">
        <v>15</v>
      </c>
      <c r="D163" s="400" t="str">
        <f>(IFERROR(VLOOKUP(A163,List!$H$1:$I$2804,2,FALSE),""))</f>
        <v/>
      </c>
      <c r="E163" s="400"/>
      <c r="F163" s="400"/>
      <c r="G163" s="362"/>
      <c r="H163" s="108"/>
      <c r="I163" s="229"/>
      <c r="J163" s="229"/>
      <c r="K163" s="109"/>
      <c r="L163" s="108"/>
      <c r="M163" s="229"/>
      <c r="N163" s="229"/>
      <c r="O163" s="109"/>
      <c r="P163" s="108"/>
      <c r="Q163" s="229"/>
      <c r="R163" s="229"/>
      <c r="S163" s="109"/>
      <c r="T163" s="234"/>
      <c r="U163" s="233"/>
      <c r="V163" s="368"/>
      <c r="W163" s="368"/>
      <c r="X163" s="368"/>
      <c r="Y163" s="470"/>
      <c r="AC163" s="36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68"/>
      <c r="B164" s="469"/>
      <c r="C164" s="11" t="s">
        <v>15</v>
      </c>
      <c r="D164" s="400" t="str">
        <f>(IFERROR(VLOOKUP(A164,List!$H$1:$I$2804,2,FALSE),""))</f>
        <v/>
      </c>
      <c r="E164" s="400"/>
      <c r="F164" s="400"/>
      <c r="G164" s="362"/>
      <c r="H164" s="108"/>
      <c r="I164" s="229"/>
      <c r="J164" s="229"/>
      <c r="K164" s="109"/>
      <c r="L164" s="108"/>
      <c r="M164" s="229"/>
      <c r="N164" s="229"/>
      <c r="O164" s="109"/>
      <c r="P164" s="108"/>
      <c r="Q164" s="229"/>
      <c r="R164" s="229"/>
      <c r="S164" s="109"/>
      <c r="T164" s="234"/>
      <c r="U164" s="233"/>
      <c r="V164" s="368"/>
      <c r="W164" s="368"/>
      <c r="X164" s="368"/>
      <c r="Y164" s="470"/>
      <c r="AC164" s="36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68"/>
      <c r="B165" s="469"/>
      <c r="C165" s="11" t="s">
        <v>15</v>
      </c>
      <c r="D165" s="400" t="str">
        <f>(IFERROR(VLOOKUP(A165,List!$H$1:$I$2804,2,FALSE),""))</f>
        <v/>
      </c>
      <c r="E165" s="400"/>
      <c r="F165" s="400"/>
      <c r="G165" s="362"/>
      <c r="H165" s="108"/>
      <c r="I165" s="229"/>
      <c r="J165" s="229"/>
      <c r="K165" s="109"/>
      <c r="L165" s="108"/>
      <c r="M165" s="229"/>
      <c r="N165" s="229"/>
      <c r="O165" s="109"/>
      <c r="P165" s="108"/>
      <c r="Q165" s="229"/>
      <c r="R165" s="229"/>
      <c r="S165" s="109"/>
      <c r="T165" s="234"/>
      <c r="U165" s="233"/>
      <c r="V165" s="368"/>
      <c r="W165" s="368"/>
      <c r="X165" s="368"/>
      <c r="Y165" s="470"/>
      <c r="AC165" s="36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68"/>
      <c r="B166" s="469"/>
      <c r="C166" s="11" t="s">
        <v>15</v>
      </c>
      <c r="D166" s="400" t="str">
        <f>(IFERROR(VLOOKUP(A166,List!$H$1:$I$2804,2,FALSE),""))</f>
        <v/>
      </c>
      <c r="E166" s="400"/>
      <c r="F166" s="400"/>
      <c r="G166" s="362"/>
      <c r="H166" s="108"/>
      <c r="I166" s="229"/>
      <c r="J166" s="229"/>
      <c r="K166" s="109"/>
      <c r="L166" s="108"/>
      <c r="M166" s="229"/>
      <c r="N166" s="229"/>
      <c r="O166" s="109"/>
      <c r="P166" s="108"/>
      <c r="Q166" s="229"/>
      <c r="R166" s="229"/>
      <c r="S166" s="109"/>
      <c r="T166" s="234"/>
      <c r="U166" s="233"/>
      <c r="V166" s="368"/>
      <c r="W166" s="368"/>
      <c r="X166" s="368"/>
      <c r="Y166" s="470"/>
      <c r="AC166" s="36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68"/>
      <c r="B167" s="469"/>
      <c r="C167" s="11" t="s">
        <v>15</v>
      </c>
      <c r="D167" s="400" t="str">
        <f>(IFERROR(VLOOKUP(A167,List!$H$1:$I$2804,2,FALSE),""))</f>
        <v/>
      </c>
      <c r="E167" s="400"/>
      <c r="F167" s="400"/>
      <c r="G167" s="362"/>
      <c r="H167" s="108"/>
      <c r="I167" s="229"/>
      <c r="J167" s="229"/>
      <c r="K167" s="109"/>
      <c r="L167" s="108"/>
      <c r="M167" s="229"/>
      <c r="N167" s="229"/>
      <c r="O167" s="109"/>
      <c r="P167" s="108"/>
      <c r="Q167" s="229"/>
      <c r="R167" s="229"/>
      <c r="S167" s="109"/>
      <c r="T167" s="234"/>
      <c r="U167" s="233"/>
      <c r="V167" s="368"/>
      <c r="W167" s="368"/>
      <c r="X167" s="368"/>
      <c r="Y167" s="470"/>
      <c r="AC167" s="36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68"/>
      <c r="B168" s="469"/>
      <c r="C168" s="11" t="s">
        <v>15</v>
      </c>
      <c r="D168" s="400" t="str">
        <f>(IFERROR(VLOOKUP(A168,List!$H$1:$I$2804,2,FALSE),""))</f>
        <v/>
      </c>
      <c r="E168" s="400"/>
      <c r="F168" s="400"/>
      <c r="G168" s="362"/>
      <c r="H168" s="108"/>
      <c r="I168" s="229"/>
      <c r="J168" s="229"/>
      <c r="K168" s="109"/>
      <c r="L168" s="108"/>
      <c r="M168" s="229"/>
      <c r="N168" s="229"/>
      <c r="O168" s="109"/>
      <c r="P168" s="108"/>
      <c r="Q168" s="229"/>
      <c r="R168" s="229"/>
      <c r="S168" s="109"/>
      <c r="T168" s="234"/>
      <c r="U168" s="233"/>
      <c r="V168" s="368"/>
      <c r="W168" s="368"/>
      <c r="X168" s="368"/>
      <c r="Y168" s="470"/>
      <c r="AC168" s="36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68"/>
      <c r="B169" s="469"/>
      <c r="C169" s="11" t="s">
        <v>15</v>
      </c>
      <c r="D169" s="400" t="str">
        <f>(IFERROR(VLOOKUP(A169,List!$H$1:$I$2804,2,FALSE),""))</f>
        <v/>
      </c>
      <c r="E169" s="400"/>
      <c r="F169" s="400"/>
      <c r="G169" s="362"/>
      <c r="H169" s="108"/>
      <c r="I169" s="229"/>
      <c r="J169" s="229"/>
      <c r="K169" s="109"/>
      <c r="L169" s="108"/>
      <c r="M169" s="229"/>
      <c r="N169" s="229"/>
      <c r="O169" s="109"/>
      <c r="P169" s="108"/>
      <c r="Q169" s="229"/>
      <c r="R169" s="229"/>
      <c r="S169" s="109"/>
      <c r="T169" s="234"/>
      <c r="U169" s="233"/>
      <c r="V169" s="368"/>
      <c r="W169" s="368"/>
      <c r="X169" s="368"/>
      <c r="Y169" s="470"/>
      <c r="AC169" s="36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68"/>
      <c r="B170" s="469"/>
      <c r="C170" s="11" t="s">
        <v>15</v>
      </c>
      <c r="D170" s="400" t="str">
        <f>(IFERROR(VLOOKUP(A170,List!$H$1:$I$2804,2,FALSE),""))</f>
        <v/>
      </c>
      <c r="E170" s="400"/>
      <c r="F170" s="400"/>
      <c r="G170" s="362"/>
      <c r="H170" s="108"/>
      <c r="I170" s="229"/>
      <c r="J170" s="229"/>
      <c r="K170" s="109"/>
      <c r="L170" s="108"/>
      <c r="M170" s="229"/>
      <c r="N170" s="229"/>
      <c r="O170" s="109"/>
      <c r="P170" s="108"/>
      <c r="Q170" s="229"/>
      <c r="R170" s="229"/>
      <c r="S170" s="109"/>
      <c r="T170" s="234"/>
      <c r="U170" s="233"/>
      <c r="V170" s="368"/>
      <c r="W170" s="368"/>
      <c r="X170" s="368"/>
      <c r="Y170" s="470"/>
      <c r="AC170" s="36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68"/>
      <c r="B171" s="469"/>
      <c r="C171" s="11" t="s">
        <v>15</v>
      </c>
      <c r="D171" s="400" t="str">
        <f>(IFERROR(VLOOKUP(A171,List!$H$1:$I$2804,2,FALSE),""))</f>
        <v/>
      </c>
      <c r="E171" s="400"/>
      <c r="F171" s="400"/>
      <c r="G171" s="362"/>
      <c r="H171" s="108"/>
      <c r="I171" s="229"/>
      <c r="J171" s="229"/>
      <c r="K171" s="109"/>
      <c r="L171" s="108"/>
      <c r="M171" s="229"/>
      <c r="N171" s="229"/>
      <c r="O171" s="109"/>
      <c r="P171" s="108"/>
      <c r="Q171" s="229"/>
      <c r="R171" s="229"/>
      <c r="S171" s="109"/>
      <c r="T171" s="234"/>
      <c r="U171" s="233"/>
      <c r="V171" s="368"/>
      <c r="W171" s="368"/>
      <c r="X171" s="368"/>
      <c r="Y171" s="470"/>
      <c r="AC171" s="36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68"/>
      <c r="B172" s="469"/>
      <c r="C172" s="11" t="s">
        <v>15</v>
      </c>
      <c r="D172" s="400" t="str">
        <f>(IFERROR(VLOOKUP(A172,List!$H$1:$I$2804,2,FALSE),""))</f>
        <v/>
      </c>
      <c r="E172" s="400"/>
      <c r="F172" s="400"/>
      <c r="G172" s="362"/>
      <c r="H172" s="108"/>
      <c r="I172" s="229"/>
      <c r="J172" s="229"/>
      <c r="K172" s="109"/>
      <c r="L172" s="108"/>
      <c r="M172" s="229"/>
      <c r="N172" s="229"/>
      <c r="O172" s="109"/>
      <c r="P172" s="108"/>
      <c r="Q172" s="229"/>
      <c r="R172" s="229"/>
      <c r="S172" s="109"/>
      <c r="T172" s="234"/>
      <c r="U172" s="233"/>
      <c r="V172" s="368"/>
      <c r="W172" s="368"/>
      <c r="X172" s="368"/>
      <c r="Y172" s="470"/>
      <c r="AC172" s="36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68"/>
      <c r="B173" s="469"/>
      <c r="C173" s="11" t="s">
        <v>15</v>
      </c>
      <c r="D173" s="400" t="str">
        <f>(IFERROR(VLOOKUP(A173,List!$H$1:$I$2804,2,FALSE),""))</f>
        <v/>
      </c>
      <c r="E173" s="400"/>
      <c r="F173" s="400"/>
      <c r="G173" s="362"/>
      <c r="H173" s="108"/>
      <c r="I173" s="229"/>
      <c r="J173" s="229"/>
      <c r="K173" s="109"/>
      <c r="L173" s="108"/>
      <c r="M173" s="229"/>
      <c r="N173" s="229"/>
      <c r="O173" s="109"/>
      <c r="P173" s="108"/>
      <c r="Q173" s="229"/>
      <c r="R173" s="229"/>
      <c r="S173" s="109"/>
      <c r="T173" s="234"/>
      <c r="U173" s="233"/>
      <c r="V173" s="368"/>
      <c r="W173" s="368"/>
      <c r="X173" s="368"/>
      <c r="Y173" s="470"/>
      <c r="AC173" s="36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68"/>
      <c r="B174" s="469"/>
      <c r="C174" s="11" t="s">
        <v>15</v>
      </c>
      <c r="D174" s="400" t="str">
        <f>(IFERROR(VLOOKUP(A174,List!$H$1:$I$2804,2,FALSE),""))</f>
        <v/>
      </c>
      <c r="E174" s="400"/>
      <c r="F174" s="400"/>
      <c r="G174" s="362"/>
      <c r="H174" s="108"/>
      <c r="I174" s="229"/>
      <c r="J174" s="229"/>
      <c r="K174" s="109"/>
      <c r="L174" s="108"/>
      <c r="M174" s="229"/>
      <c r="N174" s="229"/>
      <c r="O174" s="109"/>
      <c r="P174" s="108"/>
      <c r="Q174" s="229"/>
      <c r="R174" s="229"/>
      <c r="S174" s="109"/>
      <c r="T174" s="234"/>
      <c r="U174" s="233"/>
      <c r="V174" s="368"/>
      <c r="W174" s="368"/>
      <c r="X174" s="368"/>
      <c r="Y174" s="470"/>
      <c r="AC174" s="36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68"/>
      <c r="B175" s="469"/>
      <c r="C175" s="11" t="s">
        <v>15</v>
      </c>
      <c r="D175" s="471" t="str">
        <f>(IFERROR(VLOOKUP(A175,List!$H$1:$I$2804,2,FALSE),""))</f>
        <v/>
      </c>
      <c r="E175" s="472"/>
      <c r="F175" s="472"/>
      <c r="G175" s="472"/>
      <c r="H175" s="110"/>
      <c r="I175" s="102"/>
      <c r="J175" s="102"/>
      <c r="K175" s="111"/>
      <c r="L175" s="110"/>
      <c r="M175" s="102"/>
      <c r="N175" s="102"/>
      <c r="O175" s="111"/>
      <c r="P175" s="110"/>
      <c r="Q175" s="102"/>
      <c r="R175" s="102"/>
      <c r="S175" s="111"/>
      <c r="T175" s="105"/>
      <c r="U175" s="240"/>
      <c r="V175" s="473"/>
      <c r="W175" s="473"/>
      <c r="X175" s="473"/>
      <c r="Y175" s="474"/>
      <c r="AC175" s="36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4"/>
      <c r="B176" s="444"/>
      <c r="C176" s="445" t="s">
        <v>2892</v>
      </c>
      <c r="D176" s="446"/>
      <c r="E176" s="446"/>
      <c r="F176" s="446"/>
      <c r="G176" s="447"/>
      <c r="H176" s="212">
        <f>SUM(H148:H175)</f>
        <v>0</v>
      </c>
      <c r="I176" s="213">
        <f t="shared" ref="I176:S176" si="3">SUM(I148:I175)</f>
        <v>0</v>
      </c>
      <c r="J176" s="213">
        <f t="shared" si="3"/>
        <v>0</v>
      </c>
      <c r="K176" s="214">
        <f t="shared" si="3"/>
        <v>0</v>
      </c>
      <c r="L176" s="215">
        <f t="shared" si="3"/>
        <v>0</v>
      </c>
      <c r="M176" s="213">
        <f t="shared" si="3"/>
        <v>0</v>
      </c>
      <c r="N176" s="213">
        <f t="shared" si="3"/>
        <v>0</v>
      </c>
      <c r="O176" s="214">
        <f t="shared" si="3"/>
        <v>0</v>
      </c>
      <c r="P176" s="216">
        <f t="shared" si="3"/>
        <v>0</v>
      </c>
      <c r="Q176" s="116">
        <f t="shared" si="3"/>
        <v>0</v>
      </c>
      <c r="R176" s="116">
        <f t="shared" si="3"/>
        <v>0</v>
      </c>
      <c r="S176" s="117">
        <f t="shared" si="3"/>
        <v>0</v>
      </c>
      <c r="T176" s="247"/>
      <c r="U176" s="247"/>
      <c r="V176" s="247"/>
      <c r="W176" s="247"/>
      <c r="X176" s="115"/>
      <c r="Y176" s="114"/>
      <c r="AC176" s="36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80" t="s">
        <v>2862</v>
      </c>
      <c r="B177" s="81"/>
      <c r="C177" s="113"/>
      <c r="D177" s="448" t="s">
        <v>2863</v>
      </c>
      <c r="E177" s="448"/>
      <c r="F177" s="448"/>
      <c r="G177" s="448"/>
      <c r="H177" s="449"/>
      <c r="I177" s="450"/>
      <c r="J177" s="450"/>
      <c r="K177" s="450"/>
      <c r="L177" s="450"/>
      <c r="M177" s="450"/>
      <c r="N177" s="450"/>
      <c r="O177" s="450"/>
      <c r="P177" s="451"/>
      <c r="Q177" s="450" t="s">
        <v>2899</v>
      </c>
      <c r="R177" s="450"/>
      <c r="S177" s="450"/>
      <c r="T177" s="458" t="s">
        <v>2870</v>
      </c>
      <c r="U177" s="459"/>
      <c r="V177" s="460"/>
      <c r="W177" s="118" t="s">
        <v>2893</v>
      </c>
      <c r="X177" s="462" t="s">
        <v>2894</v>
      </c>
      <c r="Y177" s="119"/>
      <c r="AC177" s="36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65" t="s">
        <v>2864</v>
      </c>
      <c r="B178" s="66"/>
      <c r="C178" s="67"/>
      <c r="D178" s="463"/>
      <c r="E178" s="464"/>
      <c r="F178" s="464"/>
      <c r="G178" s="464"/>
      <c r="H178" s="452"/>
      <c r="I178" s="453"/>
      <c r="J178" s="453"/>
      <c r="K178" s="453"/>
      <c r="L178" s="453"/>
      <c r="M178" s="453"/>
      <c r="N178" s="453"/>
      <c r="O178" s="453"/>
      <c r="P178" s="454"/>
      <c r="Q178" s="180"/>
      <c r="R178" s="180"/>
      <c r="S178" s="180"/>
      <c r="T178" s="466"/>
      <c r="U178" s="464"/>
      <c r="V178" s="461"/>
      <c r="W178" s="98"/>
      <c r="X178" s="462"/>
      <c r="Y178" s="120"/>
      <c r="AC178" s="36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68" t="s">
        <v>2865</v>
      </c>
      <c r="B179" s="69"/>
      <c r="C179" s="66"/>
      <c r="D179" s="464"/>
      <c r="E179" s="464"/>
      <c r="F179" s="464"/>
      <c r="G179" s="464"/>
      <c r="H179" s="452"/>
      <c r="I179" s="453"/>
      <c r="J179" s="453"/>
      <c r="K179" s="453"/>
      <c r="L179" s="453"/>
      <c r="M179" s="453"/>
      <c r="N179" s="453"/>
      <c r="O179" s="453"/>
      <c r="P179" s="454"/>
      <c r="Q179" s="180"/>
      <c r="R179" s="180"/>
      <c r="S179" s="180"/>
      <c r="T179" s="464"/>
      <c r="U179" s="464"/>
      <c r="V179" s="461"/>
      <c r="W179" s="98"/>
      <c r="X179" s="467"/>
      <c r="Y179" s="443"/>
      <c r="AC179" s="36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68" t="s">
        <v>2866</v>
      </c>
      <c r="B180" s="70"/>
      <c r="C180" s="66"/>
      <c r="D180" s="464"/>
      <c r="E180" s="464"/>
      <c r="F180" s="464"/>
      <c r="G180" s="464"/>
      <c r="H180" s="452"/>
      <c r="I180" s="453"/>
      <c r="J180" s="453"/>
      <c r="K180" s="453"/>
      <c r="L180" s="453"/>
      <c r="M180" s="453"/>
      <c r="N180" s="453"/>
      <c r="O180" s="453"/>
      <c r="P180" s="454"/>
      <c r="Q180" s="180"/>
      <c r="R180" s="180"/>
      <c r="S180" s="180"/>
      <c r="T180" s="464"/>
      <c r="U180" s="464"/>
      <c r="V180" s="241" t="s">
        <v>2884</v>
      </c>
      <c r="W180" s="98"/>
      <c r="X180" s="467"/>
      <c r="Y180" s="443"/>
      <c r="AC180" s="36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71" t="s">
        <v>2867</v>
      </c>
      <c r="B181" s="72"/>
      <c r="C181" s="73"/>
      <c r="D181" s="465"/>
      <c r="E181" s="465"/>
      <c r="F181" s="465"/>
      <c r="G181" s="465"/>
      <c r="H181" s="455"/>
      <c r="I181" s="456"/>
      <c r="J181" s="456"/>
      <c r="K181" s="456"/>
      <c r="L181" s="456"/>
      <c r="M181" s="456"/>
      <c r="N181" s="456"/>
      <c r="O181" s="456"/>
      <c r="P181" s="457"/>
      <c r="Q181" s="181"/>
      <c r="R181" s="181"/>
      <c r="S181" s="181"/>
      <c r="T181" s="465"/>
      <c r="U181" s="465"/>
      <c r="V181" s="79"/>
      <c r="W181" s="242" t="s">
        <v>2883</v>
      </c>
      <c r="X181" s="163" t="s">
        <v>6</v>
      </c>
      <c r="Y181" s="243"/>
      <c r="AC181" s="36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2934</v>
      </c>
      <c r="AC182" s="36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6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6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6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6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6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6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6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6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6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6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6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6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6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6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6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6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6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6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6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6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6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6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6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6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6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6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6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6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6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6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6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6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6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6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6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6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6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6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6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6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6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6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6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6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6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6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6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6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6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6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6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6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6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6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6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6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6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6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6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6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6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6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6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6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6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6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6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6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6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6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6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6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6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6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6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6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6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6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6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6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6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6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6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6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6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6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6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6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6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6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6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6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6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6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6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6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6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6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6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6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6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6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6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6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6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6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6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6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6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6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6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6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6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6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6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6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6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6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6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6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6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6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6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6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6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6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6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6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6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6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6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6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6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6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6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6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6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6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6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6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6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6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6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6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6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6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6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6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6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6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6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6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6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6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6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6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6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6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6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6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6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6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6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6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6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6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6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6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6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6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6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6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6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6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6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6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6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6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6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6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6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6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6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6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6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6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6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6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6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6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6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6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6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6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6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6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6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6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6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6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6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6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6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6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6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6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6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6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6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6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6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6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6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6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6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6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6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6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6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6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6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6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6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6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6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6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6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6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6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6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6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6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6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6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6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6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6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6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6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6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6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6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6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6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6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6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6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6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6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6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6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6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6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6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6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6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6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6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6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6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6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6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6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6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6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6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6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6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6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6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6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6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6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6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6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6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6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6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6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6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6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6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6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6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6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6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6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6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6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6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6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6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6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6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6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6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6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6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6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6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6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6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6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6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6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6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6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6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6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6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6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6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6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6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6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6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6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6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6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6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6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6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6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6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6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6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6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6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6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6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6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6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6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6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6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6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6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6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6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6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6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6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6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6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6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6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6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6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6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6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6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6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6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6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6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6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6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6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6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6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6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6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6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6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6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6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6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6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6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6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6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6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6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6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6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6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6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6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6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6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6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6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6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6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6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6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6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6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6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6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6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6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6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6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6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6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6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6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6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6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6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6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6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6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6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6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6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6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6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6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6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6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6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6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6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6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6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6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6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6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6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6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6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6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6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6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6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6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6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6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6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6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6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6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6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6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6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6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6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6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6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6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6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6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6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6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6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6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6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6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6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6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6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6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6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6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6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6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6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6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6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6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6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6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6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6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6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6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6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6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6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6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6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6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6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6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6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6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6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6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6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6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6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6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6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6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6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6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6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6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6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6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6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6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6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6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6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6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6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6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6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6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6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6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6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6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6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6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6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6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6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6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6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6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6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6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6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6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6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6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6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6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6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6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6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6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6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6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6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6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6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6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6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6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6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6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6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6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6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6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6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6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6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6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6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6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6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6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6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6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6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6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6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6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6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6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6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6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6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6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6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6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6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6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6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6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6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6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6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6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6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6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6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6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6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6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6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6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6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6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6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6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6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6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6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6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6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6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6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6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6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6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6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6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6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6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6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6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6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6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6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6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6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6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6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6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6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6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6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6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6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6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6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6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6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6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6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6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6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6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6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6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6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6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6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6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6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6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6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6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6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6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6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6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6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6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6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6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6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6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6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6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6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6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6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6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6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6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6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6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6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6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6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6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6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6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6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6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6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6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6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6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6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6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6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6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6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6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6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6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6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6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6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6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6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6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6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6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6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6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6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6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6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6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6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6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6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6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6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6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6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6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6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6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6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6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6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6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6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6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6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6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6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6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6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6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6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6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6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6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6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6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6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6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6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6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6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6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6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6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6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6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6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6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6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6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6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6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6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6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6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6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6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6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6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6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6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6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6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6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6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6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6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6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6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6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6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6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6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6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6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6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6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6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6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6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6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6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6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6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6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6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6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6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6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6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6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6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6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6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6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6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6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6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6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6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6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6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6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6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6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6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6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6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6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6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6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6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6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6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6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6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6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6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6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6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6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6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6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6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6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6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6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6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6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6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6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6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6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6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6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6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6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6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6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6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6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6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6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6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6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6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6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6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6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6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6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6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6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6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6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6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6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6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6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6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6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6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6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6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6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6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6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6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6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6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6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6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6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6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6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6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6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6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6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6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6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6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6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6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6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6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6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6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6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6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6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6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6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6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6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6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6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6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6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6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6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6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6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6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6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6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6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6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6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6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6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6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6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6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6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6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6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6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6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6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6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6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6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6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6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6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6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6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6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6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6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6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6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6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6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6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6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6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6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6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6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6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6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6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6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6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6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6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6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6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6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6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6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6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6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6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6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6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6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6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6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6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6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6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6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6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6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6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6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6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6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6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6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6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6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6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6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6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6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6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6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6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6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6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6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6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6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6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6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6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6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6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6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6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6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6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6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6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6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6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6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6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6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6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6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6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6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6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6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6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6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6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6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6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6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6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6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6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6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6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6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6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6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6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6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6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6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6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6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6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6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6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6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6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6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6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6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6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6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6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6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6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6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6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6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6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6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6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6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6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6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6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6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6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6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6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6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6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6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6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6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6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6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6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6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6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6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6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6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6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6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6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6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6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6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6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6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6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6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6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6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6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6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6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6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6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6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6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6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6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6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6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6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6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6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6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6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6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6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6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6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6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6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6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6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6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6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6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6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6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6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6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6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6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6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6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6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6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6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6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6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6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6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6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6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6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6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6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6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6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6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6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6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6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6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6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6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6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6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6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6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6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6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6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6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6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6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6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6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6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6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6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6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6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6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6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6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6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6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6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6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6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6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6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6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6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6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6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6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6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6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6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6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6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6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6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6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6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6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6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6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6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6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6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6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6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6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6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6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6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6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6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6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6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6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6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6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6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6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6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6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6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6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6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6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6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6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6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6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6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6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6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6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6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6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6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6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6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6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6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6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6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6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6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6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6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6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6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6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6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6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6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6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6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6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6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6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6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6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6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6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6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6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6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6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6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6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6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6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6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6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6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6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6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6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6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6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6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6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6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6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6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6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6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6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6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6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6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6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6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6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6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6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6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6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6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6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6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6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6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6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6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6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6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6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6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6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6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6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6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6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6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6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6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6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6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6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6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6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6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6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6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6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6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6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6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6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6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6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6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6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6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6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6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6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6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6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6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6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6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6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6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6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6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6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6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6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6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6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6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6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6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6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6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6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6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6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6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6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6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6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6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6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6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6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6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6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6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6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6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6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6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6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6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6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6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6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6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6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6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6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6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6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6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6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6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6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6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6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6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6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6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6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6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6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6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6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6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6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6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6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6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6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6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6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6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6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6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6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6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6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6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6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6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6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6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6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6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6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6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6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6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6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6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6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6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6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6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6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6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6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6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6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6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6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6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6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6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6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6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6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6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6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6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6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6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6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6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6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6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6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6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6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6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6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6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6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6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6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6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6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6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6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6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6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6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6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6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6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6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6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6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6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6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6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6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6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6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6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6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6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6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6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6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6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6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6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6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6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6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6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6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6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6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6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6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6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6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6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6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6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6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6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6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6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6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6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6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6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6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6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6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6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6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6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6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6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6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6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6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6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6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6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6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6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6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6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6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6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6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6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6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6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6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6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6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6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6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6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6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6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6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6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6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6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6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6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6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6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6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6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6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6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6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6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6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6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6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6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6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6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6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6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6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6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6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6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6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6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6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6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6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6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6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6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6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6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6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6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6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6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6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6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6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6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6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6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6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6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6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6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6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6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6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6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6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6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6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6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6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6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6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6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6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6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6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6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6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6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6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6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6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6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6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6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6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6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6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6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6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6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6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6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6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6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6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6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6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6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6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6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6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6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6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6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6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6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6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6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6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6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6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6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6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6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6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6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6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6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6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6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6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6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6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6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6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6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6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6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6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6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6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6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6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6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6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6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6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6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6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6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6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6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6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6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6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6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6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6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6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6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6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6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6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6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6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6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6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6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6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6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6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6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6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6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6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6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6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6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6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6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6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6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6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6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6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6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6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6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6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6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6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6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6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6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6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6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6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6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6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6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6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6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6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6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6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6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6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6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6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6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6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6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6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6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6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6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6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6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6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6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6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6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6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6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6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6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6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6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6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6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6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6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6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6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6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6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6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6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6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6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6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6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6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6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6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6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6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6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6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6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6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6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6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6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6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6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6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6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6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6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6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6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6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6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6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6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6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6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6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6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6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6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6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6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6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6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6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6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6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6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6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6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6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6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6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6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6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6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6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6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6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6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6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6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6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6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6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6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6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6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6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6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6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6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6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6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6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6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6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6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6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6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6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6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6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6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6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6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6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6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6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6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6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6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6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6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6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6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6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6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6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6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6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6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6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6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6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6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6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6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6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6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6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6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6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6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6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6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6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6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6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6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6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6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6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6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6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6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6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6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6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6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6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6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6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6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6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6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6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6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6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6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6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6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6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6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6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6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6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6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6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6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6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6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6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6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6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6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6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6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6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6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6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6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6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6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6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6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6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6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6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6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6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6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6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6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6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6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6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6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6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6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6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6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6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6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6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6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6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6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6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6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6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6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6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6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6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6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6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6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6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6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6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6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6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6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6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6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6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6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6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6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6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6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6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6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6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6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6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6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6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6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6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6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6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6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6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6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6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6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6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6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6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6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6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6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6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6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6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6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6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6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6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6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6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6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6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6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6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6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6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6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6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6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6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6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6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6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6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6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6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6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6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6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6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6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6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6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6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6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6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6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6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6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6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6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6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6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6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6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6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6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6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6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6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6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6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6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6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6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6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6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6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6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6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6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6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6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6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6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6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6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6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6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6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6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6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6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6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6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6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6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6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6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6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6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6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6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6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6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6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6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6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6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6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6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6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6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6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6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6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6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6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6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6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6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6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6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6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6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6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6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6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6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6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6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6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6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6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6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6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6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6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6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6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6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6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6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6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6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6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6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6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6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6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6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6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6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6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6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6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6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6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6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6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6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6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6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6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6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6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6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6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6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6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6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6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6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6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6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6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6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6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6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6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6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6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6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6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6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6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6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6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6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6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6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6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6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6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6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6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6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6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6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6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6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6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6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6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6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6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6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6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6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6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6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6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6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6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6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6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6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6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6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6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6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6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6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6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6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6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6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6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6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6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6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6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6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6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6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6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6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6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6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6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6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6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6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6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6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6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6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6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6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6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6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6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6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6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6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6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6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6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6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6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6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6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6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6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6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6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6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6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6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6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6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6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6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6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6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6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6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6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6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6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6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6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6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6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6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6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6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6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6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6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6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6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6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6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6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6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6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6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6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6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6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6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6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6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6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6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6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6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6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6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6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6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6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6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6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6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6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6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6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6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6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6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6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6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6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6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6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6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6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6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6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6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6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6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6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6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6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6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6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6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6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6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6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6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6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6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6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6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6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6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6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6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6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6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6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6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6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6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6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6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6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6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6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6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6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6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6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6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6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6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6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6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6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6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6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6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6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6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6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6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6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6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6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6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6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6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6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6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6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6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6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6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6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6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6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6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6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6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6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6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6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6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6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6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6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6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6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6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6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6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6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6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6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6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6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6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6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6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6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6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6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6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6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6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6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6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6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6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6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6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6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6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6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6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6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6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6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6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6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6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6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6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6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6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6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6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6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6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6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6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6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6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6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6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6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6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6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6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6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6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6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6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6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6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6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6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6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6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6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6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6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6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6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6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6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6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6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6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6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6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6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6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6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6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6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6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6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6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6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6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6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6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6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6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6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6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6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6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6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6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6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6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6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6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6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6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6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6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6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6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6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6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6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6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6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6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6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6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6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6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6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6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6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6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6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6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6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6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6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6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6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6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6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6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6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6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6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6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6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6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6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6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6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6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6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6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6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6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6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6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6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6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6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6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6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6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6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6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6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6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6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6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6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6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6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6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6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6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6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6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6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6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6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6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6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6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6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6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6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6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6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6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6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6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6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6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6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6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6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6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6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6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6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6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6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6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6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6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6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6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6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6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6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6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6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6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6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6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6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6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6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6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6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6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6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6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6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6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6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6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6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6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6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6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6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6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6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6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6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6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6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6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6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6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6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6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6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6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6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6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6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6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6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6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6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6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6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6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6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6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6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6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6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6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6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6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6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6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6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6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6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6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6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6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6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6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6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6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6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6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6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6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6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6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6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6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6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6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6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6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6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6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6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6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6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6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6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6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6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6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6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6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6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6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6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6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58">
    <mergeCell ref="G8:T10"/>
    <mergeCell ref="A9:A10"/>
    <mergeCell ref="B9:F10"/>
    <mergeCell ref="C1:D1"/>
    <mergeCell ref="E1:Y1"/>
    <mergeCell ref="A2:Y2"/>
    <mergeCell ref="A6:F6"/>
    <mergeCell ref="V6:Y6"/>
    <mergeCell ref="A12:C12"/>
    <mergeCell ref="D12:G12"/>
    <mergeCell ref="V12:Y12"/>
    <mergeCell ref="G7:T7"/>
    <mergeCell ref="D7:F8"/>
    <mergeCell ref="V7:Y10"/>
    <mergeCell ref="E3:Y3"/>
    <mergeCell ref="A11:G11"/>
    <mergeCell ref="H11:K11"/>
    <mergeCell ref="L11:O11"/>
    <mergeCell ref="P11:S11"/>
    <mergeCell ref="E5:Y5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D58:G58"/>
    <mergeCell ref="V58:Y58"/>
    <mergeCell ref="V52:Y55"/>
    <mergeCell ref="G53:T55"/>
    <mergeCell ref="A54:A55"/>
    <mergeCell ref="B54:F55"/>
    <mergeCell ref="G52:T52"/>
    <mergeCell ref="D52:F53"/>
    <mergeCell ref="P56:S56"/>
    <mergeCell ref="L56:O56"/>
    <mergeCell ref="H56:K56"/>
    <mergeCell ref="A56:G56"/>
    <mergeCell ref="A63:B63"/>
    <mergeCell ref="D63:G63"/>
    <mergeCell ref="A64:B64"/>
    <mergeCell ref="D64:G64"/>
    <mergeCell ref="A61:B61"/>
    <mergeCell ref="D61:G61"/>
    <mergeCell ref="A62:B62"/>
    <mergeCell ref="D62:G62"/>
    <mergeCell ref="A59:B59"/>
    <mergeCell ref="D59:G59"/>
    <mergeCell ref="A60:B60"/>
    <mergeCell ref="D60:G6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83:B83"/>
    <mergeCell ref="D83:G83"/>
    <mergeCell ref="A84:B84"/>
    <mergeCell ref="D84:G84"/>
    <mergeCell ref="V83:Y83"/>
    <mergeCell ref="V84:Y84"/>
    <mergeCell ref="A81:B81"/>
    <mergeCell ref="D81:G81"/>
    <mergeCell ref="A82:B82"/>
    <mergeCell ref="D82:G82"/>
    <mergeCell ref="V81:Y81"/>
    <mergeCell ref="V82:Y82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W91:Y91"/>
    <mergeCell ref="A104:B104"/>
    <mergeCell ref="D104:G104"/>
    <mergeCell ref="A105:B105"/>
    <mergeCell ref="D105:G105"/>
    <mergeCell ref="V104:Y104"/>
    <mergeCell ref="V105:Y105"/>
    <mergeCell ref="A102:C102"/>
    <mergeCell ref="D102:G102"/>
    <mergeCell ref="W102:Y102"/>
    <mergeCell ref="A103:B103"/>
    <mergeCell ref="D103:G103"/>
    <mergeCell ref="V103:Y103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D133:G136"/>
    <mergeCell ref="Q133:S136"/>
    <mergeCell ref="X134:X135"/>
    <mergeCell ref="W136:Y136"/>
    <mergeCell ref="H132:P136"/>
    <mergeCell ref="A92:Y92"/>
    <mergeCell ref="A96:F96"/>
    <mergeCell ref="D97:F98"/>
    <mergeCell ref="V97:Y100"/>
    <mergeCell ref="G98:T100"/>
    <mergeCell ref="A99:A100"/>
    <mergeCell ref="B99:F100"/>
    <mergeCell ref="E93:Y93"/>
    <mergeCell ref="H87:P91"/>
    <mergeCell ref="G97:T97"/>
    <mergeCell ref="X87:X88"/>
    <mergeCell ref="X89:X90"/>
    <mergeCell ref="V28:Y28"/>
    <mergeCell ref="V59:Y59"/>
    <mergeCell ref="V13:Y13"/>
    <mergeCell ref="V15:Y15"/>
    <mergeCell ref="V16:Y16"/>
    <mergeCell ref="V17:Y17"/>
    <mergeCell ref="V18:Y18"/>
    <mergeCell ref="V19:Y19"/>
    <mergeCell ref="V20:Y20"/>
    <mergeCell ref="V21:Y21"/>
    <mergeCell ref="A47:Y47"/>
    <mergeCell ref="A51:F51"/>
    <mergeCell ref="E48:Y48"/>
    <mergeCell ref="H42:P46"/>
    <mergeCell ref="Q42:S42"/>
    <mergeCell ref="T42:U42"/>
    <mergeCell ref="X42:X43"/>
    <mergeCell ref="D43:G46"/>
    <mergeCell ref="T43:U46"/>
    <mergeCell ref="X44:X45"/>
    <mergeCell ref="A57:C57"/>
    <mergeCell ref="D57:G57"/>
    <mergeCell ref="W57:Y57"/>
    <mergeCell ref="A58:B58"/>
    <mergeCell ref="V62:Y62"/>
    <mergeCell ref="V63:Y63"/>
    <mergeCell ref="V64:Y64"/>
    <mergeCell ref="V29:Y29"/>
    <mergeCell ref="V30:Y30"/>
    <mergeCell ref="V31:Y31"/>
    <mergeCell ref="V32:Y32"/>
    <mergeCell ref="V33:Y33"/>
    <mergeCell ref="V42:V45"/>
    <mergeCell ref="V40:Y40"/>
    <mergeCell ref="V34:Y34"/>
    <mergeCell ref="V35:Y35"/>
    <mergeCell ref="V36:Y36"/>
    <mergeCell ref="V37:Y37"/>
    <mergeCell ref="V38:Y38"/>
    <mergeCell ref="V39:Y39"/>
    <mergeCell ref="A147:C147"/>
    <mergeCell ref="D147:G147"/>
    <mergeCell ref="V147:Y147"/>
    <mergeCell ref="A148:B148"/>
    <mergeCell ref="D148:G148"/>
    <mergeCell ref="V148:Y14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01:G101"/>
    <mergeCell ref="H101:K101"/>
    <mergeCell ref="L101:O101"/>
    <mergeCell ref="P101:S101"/>
    <mergeCell ref="A146:G146"/>
    <mergeCell ref="T101:Y101"/>
    <mergeCell ref="T56:Y56"/>
    <mergeCell ref="T11:Y11"/>
    <mergeCell ref="W14:Y14"/>
    <mergeCell ref="H146:K146"/>
    <mergeCell ref="L146:O146"/>
    <mergeCell ref="P146:S146"/>
    <mergeCell ref="T146:Y146"/>
    <mergeCell ref="V22:Y22"/>
    <mergeCell ref="V23:Y23"/>
    <mergeCell ref="V24:Y24"/>
    <mergeCell ref="V25:Y25"/>
    <mergeCell ref="V26:Y26"/>
    <mergeCell ref="V27:Y27"/>
    <mergeCell ref="Y44:Y45"/>
    <mergeCell ref="A137:Y137"/>
    <mergeCell ref="E138:Y138"/>
    <mergeCell ref="V60:Y60"/>
    <mergeCell ref="V61:Y61"/>
  </mergeCells>
  <dataValidations count="1">
    <dataValidation type="list" allowBlank="1" showInputMessage="1" sqref="A103:A131 A58:A86 A13:A41 A148:A176" xr:uid="{0EC3DE71-AC8B-4240-9428-2DA15537B3E2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2" name="Check Box 24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3" name="Check Box 25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4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5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26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27" name="Check Box 29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E3CBE8-EBB1-4681-9501-E997CAFF1E3D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ACB4B2CD-08C4-4848-8E83-56531E495C09}">
          <x14:formula1>
            <xm:f>List!$D$1:$D$3</xm:f>
          </x14:formula1>
          <xm:sqref>B53 B8 B98 B143</xm:sqref>
        </x14:dataValidation>
        <x14:dataValidation type="list" allowBlank="1" showInputMessage="1" showErrorMessage="1" xr:uid="{B60BB61F-9669-4C72-AA40-CF77FA23A49B}">
          <x14:formula1>
            <xm:f>List!$B$1:$B$3</xm:f>
          </x14:formula1>
          <xm:sqref>B52 B7 B97 B142</xm:sqref>
        </x14:dataValidation>
        <x14:dataValidation type="list" allowBlank="1" showInputMessage="1" showErrorMessage="1" xr:uid="{FEA0FC0E-24F8-48D8-A8B2-F078AB767BBD}">
          <x14:formula1>
            <xm:f>List!$C$1:$C$3</xm:f>
          </x14:formula1>
          <xm:sqref>B4 B49 B94 B139</xm:sqref>
        </x14:dataValidation>
        <x14:dataValidation type="list" allowBlank="1" showInputMessage="1" showErrorMessage="1" xr:uid="{AFAD226A-61A1-4B22-9A3F-03B28392C3F3}">
          <x14:formula1>
            <xm:f>List!$E$1:$E$7</xm:f>
          </x14:formula1>
          <xm:sqref>B95 B5 B50 B140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E536C-85BD-4A94-A474-AC176B96C2EC}">
  <sheetPr codeName="Sheet3"/>
  <dimension ref="A1:I2804"/>
  <sheetViews>
    <sheetView topLeftCell="A76" zoomScale="75" zoomScaleNormal="75" workbookViewId="0">
      <selection activeCell="K115" sqref="K115"/>
    </sheetView>
  </sheetViews>
  <sheetFormatPr defaultRowHeight="15"/>
  <cols>
    <col min="1" max="1" width="24.85546875" bestFit="1" customWidth="1"/>
    <col min="2" max="2" width="14.140625" bestFit="1" customWidth="1"/>
    <col min="3" max="3" width="8.5703125" customWidth="1"/>
    <col min="4" max="4" width="6" bestFit="1" customWidth="1"/>
    <col min="5" max="5" width="53.85546875" bestFit="1" customWidth="1"/>
    <col min="6" max="6" width="7" customWidth="1"/>
    <col min="7" max="7" width="11.7109375" customWidth="1"/>
    <col min="8" max="8" width="66.85546875" bestFit="1" customWidth="1"/>
    <col min="9" max="9" width="7.7109375" bestFit="1" customWidth="1"/>
    <col min="10" max="10" width="9.140625" customWidth="1"/>
    <col min="11" max="11" width="44" customWidth="1"/>
    <col min="12" max="12" width="12.5703125" customWidth="1"/>
    <col min="13" max="13" width="17.28515625" customWidth="1"/>
    <col min="14" max="14" width="51.140625" customWidth="1"/>
    <col min="15" max="15" width="56.28515625" customWidth="1"/>
    <col min="16" max="16" width="60" bestFit="1" customWidth="1"/>
    <col min="17" max="17" width="56.5703125" bestFit="1" customWidth="1"/>
    <col min="18" max="18" width="66.85546875" bestFit="1" customWidth="1"/>
    <col min="19" max="19" width="53.42578125" bestFit="1" customWidth="1"/>
    <col min="20" max="20" width="54.140625" customWidth="1"/>
  </cols>
  <sheetData>
    <row r="1" spans="1:9">
      <c r="A1" t="s">
        <v>31</v>
      </c>
      <c r="B1" t="s">
        <v>34</v>
      </c>
      <c r="C1">
        <v>1</v>
      </c>
      <c r="D1" s="15" t="s">
        <v>36</v>
      </c>
      <c r="E1" t="s">
        <v>11</v>
      </c>
      <c r="F1" s="17">
        <v>1</v>
      </c>
      <c r="H1" s="20" t="s">
        <v>42</v>
      </c>
      <c r="I1" s="22" t="s">
        <v>2848</v>
      </c>
    </row>
    <row r="2" spans="1:9">
      <c r="A2" t="s">
        <v>32</v>
      </c>
      <c r="B2" t="s">
        <v>39</v>
      </c>
      <c r="C2">
        <v>2</v>
      </c>
      <c r="D2" s="15" t="s">
        <v>37</v>
      </c>
      <c r="E2" t="s">
        <v>12</v>
      </c>
      <c r="F2" s="17">
        <v>2</v>
      </c>
      <c r="H2" s="20" t="s">
        <v>43</v>
      </c>
      <c r="I2" s="22" t="s">
        <v>2849</v>
      </c>
    </row>
    <row r="3" spans="1:9">
      <c r="B3" t="s">
        <v>40</v>
      </c>
      <c r="C3">
        <v>3</v>
      </c>
      <c r="D3" s="15" t="s">
        <v>41</v>
      </c>
      <c r="E3" t="s">
        <v>13</v>
      </c>
      <c r="F3" s="17">
        <v>3</v>
      </c>
      <c r="H3" s="20" t="s">
        <v>44</v>
      </c>
      <c r="I3" s="22" t="s">
        <v>2849</v>
      </c>
    </row>
    <row r="4" spans="1:9">
      <c r="E4" t="s">
        <v>14</v>
      </c>
      <c r="F4" s="17">
        <v>4</v>
      </c>
      <c r="H4" s="20" t="s">
        <v>45</v>
      </c>
      <c r="I4" s="23" t="s">
        <v>2850</v>
      </c>
    </row>
    <row r="5" spans="1:9">
      <c r="E5" t="s">
        <v>2897</v>
      </c>
      <c r="F5" s="22">
        <v>5</v>
      </c>
      <c r="H5" s="20" t="s">
        <v>46</v>
      </c>
      <c r="I5" s="22" t="s">
        <v>2851</v>
      </c>
    </row>
    <row r="6" spans="1:9">
      <c r="E6" t="s">
        <v>2898</v>
      </c>
      <c r="H6" s="20" t="s">
        <v>47</v>
      </c>
      <c r="I6" s="22" t="s">
        <v>2849</v>
      </c>
    </row>
    <row r="7" spans="1:9">
      <c r="E7" t="s">
        <v>2868</v>
      </c>
      <c r="H7" s="20" t="s">
        <v>48</v>
      </c>
      <c r="I7" s="22" t="s">
        <v>2849</v>
      </c>
    </row>
    <row r="8" spans="1:9">
      <c r="H8" s="20" t="s">
        <v>49</v>
      </c>
      <c r="I8" s="22" t="s">
        <v>2848</v>
      </c>
    </row>
    <row r="9" spans="1:9">
      <c r="H9" s="20" t="s">
        <v>50</v>
      </c>
      <c r="I9" s="22" t="s">
        <v>2848</v>
      </c>
    </row>
    <row r="10" spans="1:9">
      <c r="H10" s="20" t="s">
        <v>51</v>
      </c>
      <c r="I10" s="22" t="s">
        <v>2848</v>
      </c>
    </row>
    <row r="11" spans="1:9">
      <c r="H11" s="20" t="s">
        <v>52</v>
      </c>
      <c r="I11" s="23" t="s">
        <v>2849</v>
      </c>
    </row>
    <row r="12" spans="1:9">
      <c r="H12" s="20" t="s">
        <v>53</v>
      </c>
      <c r="I12" s="22" t="s">
        <v>2849</v>
      </c>
    </row>
    <row r="13" spans="1:9">
      <c r="H13" s="20" t="s">
        <v>54</v>
      </c>
      <c r="I13" s="22" t="s">
        <v>2849</v>
      </c>
    </row>
    <row r="14" spans="1:9">
      <c r="H14" s="20" t="s">
        <v>55</v>
      </c>
      <c r="I14" s="22" t="s">
        <v>2848</v>
      </c>
    </row>
    <row r="15" spans="1:9">
      <c r="H15" s="20" t="s">
        <v>56</v>
      </c>
      <c r="I15" s="22" t="s">
        <v>2849</v>
      </c>
    </row>
    <row r="16" spans="1:9">
      <c r="A16" s="16" t="s">
        <v>11</v>
      </c>
      <c r="H16" s="20" t="s">
        <v>57</v>
      </c>
      <c r="I16" s="22" t="s">
        <v>2849</v>
      </c>
    </row>
    <row r="17" spans="1:9">
      <c r="A17" s="16" t="s">
        <v>12</v>
      </c>
      <c r="H17" s="20" t="s">
        <v>58</v>
      </c>
      <c r="I17" s="22" t="s">
        <v>2849</v>
      </c>
    </row>
    <row r="18" spans="1:9">
      <c r="A18" s="16" t="s">
        <v>13</v>
      </c>
      <c r="H18" s="20" t="s">
        <v>59</v>
      </c>
      <c r="I18" s="22" t="s">
        <v>2848</v>
      </c>
    </row>
    <row r="19" spans="1:9">
      <c r="A19" s="16" t="s">
        <v>14</v>
      </c>
      <c r="H19" s="20" t="s">
        <v>60</v>
      </c>
      <c r="I19" s="22" t="s">
        <v>2849</v>
      </c>
    </row>
    <row r="20" spans="1:9">
      <c r="A20" t="s">
        <v>2868</v>
      </c>
      <c r="H20" s="20" t="s">
        <v>61</v>
      </c>
      <c r="I20" s="22" t="s">
        <v>2848</v>
      </c>
    </row>
    <row r="21" spans="1:9">
      <c r="H21" s="20" t="s">
        <v>62</v>
      </c>
      <c r="I21" s="22" t="s">
        <v>2849</v>
      </c>
    </row>
    <row r="22" spans="1:9">
      <c r="A22" t="s">
        <v>2846</v>
      </c>
      <c r="H22" s="20" t="s">
        <v>63</v>
      </c>
      <c r="I22" s="22" t="s">
        <v>2849</v>
      </c>
    </row>
    <row r="23" spans="1:9">
      <c r="H23" s="20" t="s">
        <v>64</v>
      </c>
      <c r="I23" s="22" t="s">
        <v>2849</v>
      </c>
    </row>
    <row r="24" spans="1:9">
      <c r="H24" s="20" t="s">
        <v>65</v>
      </c>
      <c r="I24" s="22" t="s">
        <v>2849</v>
      </c>
    </row>
    <row r="25" spans="1:9">
      <c r="H25" s="20" t="s">
        <v>66</v>
      </c>
      <c r="I25" s="22" t="s">
        <v>2849</v>
      </c>
    </row>
    <row r="26" spans="1:9">
      <c r="H26" s="20" t="s">
        <v>67</v>
      </c>
      <c r="I26" s="22" t="s">
        <v>2849</v>
      </c>
    </row>
    <row r="27" spans="1:9">
      <c r="H27" s="20" t="s">
        <v>68</v>
      </c>
      <c r="I27" s="23" t="s">
        <v>2850</v>
      </c>
    </row>
    <row r="28" spans="1:9">
      <c r="H28" s="20" t="s">
        <v>69</v>
      </c>
      <c r="I28" s="23" t="s">
        <v>2850</v>
      </c>
    </row>
    <row r="29" spans="1:9">
      <c r="H29" s="20" t="s">
        <v>70</v>
      </c>
      <c r="I29" s="23" t="s">
        <v>2852</v>
      </c>
    </row>
    <row r="30" spans="1:9">
      <c r="H30" s="20" t="s">
        <v>71</v>
      </c>
      <c r="I30" s="22" t="s">
        <v>2848</v>
      </c>
    </row>
    <row r="31" spans="1:9">
      <c r="H31" s="20" t="s">
        <v>72</v>
      </c>
      <c r="I31" s="22" t="s">
        <v>2848</v>
      </c>
    </row>
    <row r="32" spans="1:9">
      <c r="H32" s="20" t="s">
        <v>73</v>
      </c>
      <c r="I32" s="22" t="s">
        <v>2848</v>
      </c>
    </row>
    <row r="33" spans="8:9">
      <c r="H33" s="20" t="s">
        <v>74</v>
      </c>
      <c r="I33" s="22" t="s">
        <v>2849</v>
      </c>
    </row>
    <row r="34" spans="8:9">
      <c r="H34" s="20" t="s">
        <v>75</v>
      </c>
      <c r="I34" s="22" t="s">
        <v>2849</v>
      </c>
    </row>
    <row r="35" spans="8:9">
      <c r="H35" s="20" t="s">
        <v>76</v>
      </c>
      <c r="I35" s="22" t="s">
        <v>2850</v>
      </c>
    </row>
    <row r="36" spans="8:9">
      <c r="H36" s="20" t="s">
        <v>77</v>
      </c>
      <c r="I36" s="22" t="s">
        <v>2849</v>
      </c>
    </row>
    <row r="37" spans="8:9">
      <c r="H37" s="20" t="s">
        <v>78</v>
      </c>
      <c r="I37" s="22" t="s">
        <v>2849</v>
      </c>
    </row>
    <row r="38" spans="8:9">
      <c r="H38" s="20" t="s">
        <v>79</v>
      </c>
      <c r="I38" s="23" t="s">
        <v>2852</v>
      </c>
    </row>
    <row r="39" spans="8:9">
      <c r="H39" s="20" t="s">
        <v>80</v>
      </c>
      <c r="I39" s="22" t="s">
        <v>2849</v>
      </c>
    </row>
    <row r="40" spans="8:9">
      <c r="H40" s="20" t="s">
        <v>81</v>
      </c>
      <c r="I40" s="23" t="s">
        <v>2852</v>
      </c>
    </row>
    <row r="41" spans="8:9">
      <c r="H41" s="20" t="s">
        <v>82</v>
      </c>
      <c r="I41" s="22" t="s">
        <v>2852</v>
      </c>
    </row>
    <row r="42" spans="8:9">
      <c r="H42" s="20" t="s">
        <v>83</v>
      </c>
      <c r="I42" s="22" t="s">
        <v>2848</v>
      </c>
    </row>
    <row r="43" spans="8:9">
      <c r="H43" s="20" t="s">
        <v>84</v>
      </c>
      <c r="I43" s="22" t="s">
        <v>2849</v>
      </c>
    </row>
    <row r="44" spans="8:9">
      <c r="H44" s="20" t="s">
        <v>85</v>
      </c>
      <c r="I44" s="22" t="s">
        <v>2849</v>
      </c>
    </row>
    <row r="45" spans="8:9">
      <c r="H45" s="20" t="s">
        <v>86</v>
      </c>
      <c r="I45" s="22" t="s">
        <v>2848</v>
      </c>
    </row>
    <row r="46" spans="8:9">
      <c r="H46" s="20" t="s">
        <v>87</v>
      </c>
      <c r="I46" s="22" t="s">
        <v>2849</v>
      </c>
    </row>
    <row r="47" spans="8:9">
      <c r="H47" s="20" t="s">
        <v>88</v>
      </c>
      <c r="I47" s="22" t="s">
        <v>2851</v>
      </c>
    </row>
    <row r="48" spans="8:9">
      <c r="H48" s="20" t="s">
        <v>89</v>
      </c>
      <c r="I48" s="22" t="s">
        <v>2849</v>
      </c>
    </row>
    <row r="49" spans="8:9">
      <c r="H49" s="20" t="s">
        <v>90</v>
      </c>
      <c r="I49" s="22" t="s">
        <v>2849</v>
      </c>
    </row>
    <row r="50" spans="8:9">
      <c r="H50" s="20" t="s">
        <v>91</v>
      </c>
      <c r="I50" s="22" t="s">
        <v>2849</v>
      </c>
    </row>
    <row r="51" spans="8:9">
      <c r="H51" s="20" t="s">
        <v>92</v>
      </c>
      <c r="I51" s="23" t="s">
        <v>2850</v>
      </c>
    </row>
    <row r="52" spans="8:9">
      <c r="H52" s="20" t="s">
        <v>93</v>
      </c>
      <c r="I52" s="23" t="s">
        <v>2852</v>
      </c>
    </row>
    <row r="53" spans="8:9">
      <c r="H53" s="20" t="s">
        <v>94</v>
      </c>
      <c r="I53" s="22" t="s">
        <v>2849</v>
      </c>
    </row>
    <row r="54" spans="8:9">
      <c r="H54" s="20" t="s">
        <v>95</v>
      </c>
      <c r="I54" s="22" t="s">
        <v>2848</v>
      </c>
    </row>
    <row r="55" spans="8:9">
      <c r="H55" s="20" t="s">
        <v>96</v>
      </c>
      <c r="I55" s="22" t="s">
        <v>2848</v>
      </c>
    </row>
    <row r="56" spans="8:9">
      <c r="H56" s="20" t="s">
        <v>97</v>
      </c>
      <c r="I56" s="23" t="s">
        <v>2850</v>
      </c>
    </row>
    <row r="57" spans="8:9">
      <c r="H57" s="20" t="s">
        <v>98</v>
      </c>
      <c r="I57" s="22" t="s">
        <v>2848</v>
      </c>
    </row>
    <row r="58" spans="8:9">
      <c r="H58" s="20" t="s">
        <v>99</v>
      </c>
      <c r="I58" s="22" t="s">
        <v>2850</v>
      </c>
    </row>
    <row r="59" spans="8:9">
      <c r="H59" s="20" t="s">
        <v>100</v>
      </c>
      <c r="I59" s="22" t="s">
        <v>2849</v>
      </c>
    </row>
    <row r="60" spans="8:9">
      <c r="H60" s="20" t="s">
        <v>101</v>
      </c>
      <c r="I60" s="22" t="s">
        <v>2848</v>
      </c>
    </row>
    <row r="61" spans="8:9">
      <c r="H61" s="20" t="s">
        <v>102</v>
      </c>
      <c r="I61" s="22" t="s">
        <v>2849</v>
      </c>
    </row>
    <row r="62" spans="8:9">
      <c r="H62" s="20" t="s">
        <v>103</v>
      </c>
      <c r="I62" s="22" t="s">
        <v>2848</v>
      </c>
    </row>
    <row r="63" spans="8:9">
      <c r="H63" s="20" t="s">
        <v>104</v>
      </c>
      <c r="I63" s="23" t="s">
        <v>2852</v>
      </c>
    </row>
    <row r="64" spans="8:9">
      <c r="H64" s="20" t="s">
        <v>105</v>
      </c>
      <c r="I64" s="23" t="s">
        <v>2852</v>
      </c>
    </row>
    <row r="65" spans="8:9">
      <c r="H65" s="20" t="s">
        <v>106</v>
      </c>
      <c r="I65" s="22" t="s">
        <v>2852</v>
      </c>
    </row>
    <row r="66" spans="8:9">
      <c r="H66" s="20" t="s">
        <v>107</v>
      </c>
      <c r="I66" s="23" t="s">
        <v>2850</v>
      </c>
    </row>
    <row r="67" spans="8:9">
      <c r="H67" s="20" t="s">
        <v>108</v>
      </c>
      <c r="I67" s="22" t="s">
        <v>2848</v>
      </c>
    </row>
    <row r="68" spans="8:9">
      <c r="H68" s="20" t="s">
        <v>109</v>
      </c>
      <c r="I68" s="23" t="s">
        <v>2850</v>
      </c>
    </row>
    <row r="69" spans="8:9">
      <c r="H69" s="20" t="s">
        <v>110</v>
      </c>
      <c r="I69" s="22" t="s">
        <v>2849</v>
      </c>
    </row>
    <row r="70" spans="8:9">
      <c r="H70" s="20" t="s">
        <v>111</v>
      </c>
      <c r="I70" s="22" t="s">
        <v>2848</v>
      </c>
    </row>
    <row r="71" spans="8:9">
      <c r="H71" s="20" t="s">
        <v>112</v>
      </c>
      <c r="I71" s="23" t="s">
        <v>2850</v>
      </c>
    </row>
    <row r="72" spans="8:9">
      <c r="H72" s="20" t="s">
        <v>113</v>
      </c>
      <c r="I72" s="22" t="s">
        <v>2849</v>
      </c>
    </row>
    <row r="73" spans="8:9">
      <c r="H73" s="20" t="s">
        <v>114</v>
      </c>
      <c r="I73" s="22" t="s">
        <v>2848</v>
      </c>
    </row>
    <row r="74" spans="8:9">
      <c r="H74" s="20" t="s">
        <v>115</v>
      </c>
      <c r="I74" s="22" t="s">
        <v>2848</v>
      </c>
    </row>
    <row r="75" spans="8:9">
      <c r="H75" s="20" t="s">
        <v>116</v>
      </c>
      <c r="I75" s="22" t="s">
        <v>2849</v>
      </c>
    </row>
    <row r="76" spans="8:9">
      <c r="H76" s="20" t="s">
        <v>117</v>
      </c>
      <c r="I76" s="22" t="s">
        <v>2848</v>
      </c>
    </row>
    <row r="77" spans="8:9">
      <c r="H77" s="20" t="s">
        <v>118</v>
      </c>
      <c r="I77" s="22" t="s">
        <v>2849</v>
      </c>
    </row>
    <row r="78" spans="8:9">
      <c r="H78" s="20" t="s">
        <v>119</v>
      </c>
      <c r="I78" s="22" t="s">
        <v>2849</v>
      </c>
    </row>
    <row r="79" spans="8:9">
      <c r="H79" s="20" t="s">
        <v>120</v>
      </c>
      <c r="I79" s="22" t="s">
        <v>2849</v>
      </c>
    </row>
    <row r="80" spans="8:9">
      <c r="H80" s="20" t="s">
        <v>121</v>
      </c>
      <c r="I80" s="23" t="s">
        <v>2850</v>
      </c>
    </row>
    <row r="81" spans="8:9">
      <c r="H81" s="20" t="s">
        <v>122</v>
      </c>
      <c r="I81" s="22" t="s">
        <v>2849</v>
      </c>
    </row>
    <row r="82" spans="8:9">
      <c r="H82" s="20" t="s">
        <v>123</v>
      </c>
      <c r="I82" s="22" t="s">
        <v>2849</v>
      </c>
    </row>
    <row r="83" spans="8:9">
      <c r="H83" s="20" t="s">
        <v>124</v>
      </c>
      <c r="I83" s="22" t="s">
        <v>2849</v>
      </c>
    </row>
    <row r="84" spans="8:9">
      <c r="H84" s="20" t="s">
        <v>125</v>
      </c>
      <c r="I84" s="23" t="s">
        <v>2849</v>
      </c>
    </row>
    <row r="85" spans="8:9">
      <c r="H85" s="20" t="s">
        <v>126</v>
      </c>
      <c r="I85" s="22" t="s">
        <v>2849</v>
      </c>
    </row>
    <row r="86" spans="8:9">
      <c r="H86" s="20" t="s">
        <v>127</v>
      </c>
      <c r="I86" s="23" t="s">
        <v>2852</v>
      </c>
    </row>
    <row r="87" spans="8:9">
      <c r="H87" s="20" t="s">
        <v>128</v>
      </c>
      <c r="I87" s="22" t="s">
        <v>2849</v>
      </c>
    </row>
    <row r="88" spans="8:9">
      <c r="H88" s="20" t="s">
        <v>129</v>
      </c>
      <c r="I88" s="22" t="s">
        <v>2851</v>
      </c>
    </row>
    <row r="89" spans="8:9">
      <c r="H89" s="20" t="s">
        <v>130</v>
      </c>
      <c r="I89" s="23" t="s">
        <v>2852</v>
      </c>
    </row>
    <row r="90" spans="8:9">
      <c r="H90" s="20" t="s">
        <v>131</v>
      </c>
      <c r="I90" s="22" t="s">
        <v>2849</v>
      </c>
    </row>
    <row r="91" spans="8:9">
      <c r="H91" s="20" t="s">
        <v>132</v>
      </c>
      <c r="I91" s="22" t="s">
        <v>2849</v>
      </c>
    </row>
    <row r="92" spans="8:9">
      <c r="H92" s="20" t="s">
        <v>133</v>
      </c>
      <c r="I92" s="22" t="s">
        <v>2849</v>
      </c>
    </row>
    <row r="93" spans="8:9">
      <c r="H93" s="20" t="s">
        <v>134</v>
      </c>
      <c r="I93" s="23" t="s">
        <v>2849</v>
      </c>
    </row>
    <row r="94" spans="8:9">
      <c r="H94" s="20" t="s">
        <v>135</v>
      </c>
      <c r="I94" s="22" t="s">
        <v>2848</v>
      </c>
    </row>
    <row r="95" spans="8:9">
      <c r="H95" s="20" t="s">
        <v>136</v>
      </c>
      <c r="I95" s="22" t="s">
        <v>2849</v>
      </c>
    </row>
    <row r="96" spans="8:9">
      <c r="H96" s="20" t="s">
        <v>137</v>
      </c>
      <c r="I96" s="22" t="s">
        <v>2849</v>
      </c>
    </row>
    <row r="97" spans="8:9">
      <c r="H97" s="20" t="s">
        <v>138</v>
      </c>
      <c r="I97" s="22" t="s">
        <v>2848</v>
      </c>
    </row>
    <row r="98" spans="8:9">
      <c r="H98" s="20" t="s">
        <v>139</v>
      </c>
      <c r="I98" s="23" t="s">
        <v>2852</v>
      </c>
    </row>
    <row r="99" spans="8:9">
      <c r="H99" s="20" t="s">
        <v>140</v>
      </c>
      <c r="I99" s="23" t="s">
        <v>2852</v>
      </c>
    </row>
    <row r="100" spans="8:9">
      <c r="H100" s="20" t="s">
        <v>141</v>
      </c>
      <c r="I100" s="22" t="s">
        <v>2849</v>
      </c>
    </row>
    <row r="101" spans="8:9">
      <c r="H101" s="20" t="s">
        <v>142</v>
      </c>
      <c r="I101" s="22" t="s">
        <v>2849</v>
      </c>
    </row>
    <row r="102" spans="8:9">
      <c r="H102" s="20" t="s">
        <v>143</v>
      </c>
      <c r="I102" s="23" t="s">
        <v>2852</v>
      </c>
    </row>
    <row r="103" spans="8:9">
      <c r="H103" s="20" t="s">
        <v>144</v>
      </c>
      <c r="I103" s="22" t="s">
        <v>2849</v>
      </c>
    </row>
    <row r="104" spans="8:9">
      <c r="H104" s="20" t="s">
        <v>145</v>
      </c>
      <c r="I104" s="23" t="s">
        <v>2852</v>
      </c>
    </row>
    <row r="105" spans="8:9">
      <c r="H105" s="20" t="s">
        <v>146</v>
      </c>
      <c r="I105" s="23" t="s">
        <v>2852</v>
      </c>
    </row>
    <row r="106" spans="8:9">
      <c r="H106" s="20" t="s">
        <v>147</v>
      </c>
      <c r="I106" s="22" t="s">
        <v>2849</v>
      </c>
    </row>
    <row r="107" spans="8:9">
      <c r="H107" s="20" t="s">
        <v>148</v>
      </c>
      <c r="I107" s="22" t="s">
        <v>2849</v>
      </c>
    </row>
    <row r="108" spans="8:9">
      <c r="H108" s="20" t="s">
        <v>149</v>
      </c>
      <c r="I108" s="22" t="s">
        <v>2849</v>
      </c>
    </row>
    <row r="109" spans="8:9">
      <c r="H109" s="20" t="s">
        <v>150</v>
      </c>
      <c r="I109" s="23" t="s">
        <v>2848</v>
      </c>
    </row>
    <row r="110" spans="8:9">
      <c r="H110" s="20" t="s">
        <v>151</v>
      </c>
      <c r="I110" s="22" t="s">
        <v>2848</v>
      </c>
    </row>
    <row r="111" spans="8:9">
      <c r="H111" s="20" t="s">
        <v>152</v>
      </c>
      <c r="I111" s="23" t="s">
        <v>2852</v>
      </c>
    </row>
    <row r="112" spans="8:9">
      <c r="H112" s="20" t="s">
        <v>153</v>
      </c>
      <c r="I112" s="23" t="s">
        <v>2850</v>
      </c>
    </row>
    <row r="113" spans="7:9">
      <c r="H113" s="20" t="s">
        <v>154</v>
      </c>
      <c r="I113" s="22" t="s">
        <v>2849</v>
      </c>
    </row>
    <row r="114" spans="7:9">
      <c r="G114" s="263"/>
      <c r="H114" s="12" t="s">
        <v>155</v>
      </c>
      <c r="I114" s="23" t="s">
        <v>2849</v>
      </c>
    </row>
    <row r="115" spans="7:9">
      <c r="H115" s="20" t="s">
        <v>156</v>
      </c>
      <c r="I115" s="23" t="s">
        <v>2850</v>
      </c>
    </row>
    <row r="116" spans="7:9">
      <c r="H116" s="20" t="s">
        <v>157</v>
      </c>
      <c r="I116" s="22" t="s">
        <v>2848</v>
      </c>
    </row>
    <row r="117" spans="7:9">
      <c r="H117" s="20" t="s">
        <v>158</v>
      </c>
      <c r="I117" s="23" t="s">
        <v>2850</v>
      </c>
    </row>
    <row r="118" spans="7:9">
      <c r="H118" s="20" t="s">
        <v>159</v>
      </c>
      <c r="I118" s="23" t="s">
        <v>2850</v>
      </c>
    </row>
    <row r="119" spans="7:9">
      <c r="H119" s="20" t="s">
        <v>160</v>
      </c>
      <c r="I119" s="22" t="s">
        <v>2849</v>
      </c>
    </row>
    <row r="120" spans="7:9">
      <c r="H120" s="20" t="s">
        <v>161</v>
      </c>
      <c r="I120" s="23" t="s">
        <v>2849</v>
      </c>
    </row>
    <row r="121" spans="7:9">
      <c r="H121" s="20" t="s">
        <v>162</v>
      </c>
      <c r="I121" s="22" t="s">
        <v>2849</v>
      </c>
    </row>
    <row r="122" spans="7:9">
      <c r="H122" s="20" t="s">
        <v>163</v>
      </c>
      <c r="I122" s="22" t="s">
        <v>2848</v>
      </c>
    </row>
    <row r="123" spans="7:9">
      <c r="H123" s="20" t="s">
        <v>164</v>
      </c>
      <c r="I123" s="23" t="s">
        <v>2850</v>
      </c>
    </row>
    <row r="124" spans="7:9">
      <c r="H124" s="20" t="s">
        <v>165</v>
      </c>
      <c r="I124" s="23" t="s">
        <v>2848</v>
      </c>
    </row>
    <row r="125" spans="7:9">
      <c r="H125" s="20" t="s">
        <v>166</v>
      </c>
      <c r="I125" s="23" t="s">
        <v>2849</v>
      </c>
    </row>
    <row r="126" spans="7:9">
      <c r="H126" s="20" t="s">
        <v>167</v>
      </c>
      <c r="I126" s="22" t="s">
        <v>2849</v>
      </c>
    </row>
    <row r="127" spans="7:9">
      <c r="H127" s="20" t="s">
        <v>168</v>
      </c>
      <c r="I127" s="23" t="s">
        <v>2852</v>
      </c>
    </row>
    <row r="128" spans="7:9">
      <c r="H128" s="20" t="s">
        <v>169</v>
      </c>
      <c r="I128" s="22" t="s">
        <v>2849</v>
      </c>
    </row>
    <row r="129" spans="8:9">
      <c r="H129" s="12" t="s">
        <v>170</v>
      </c>
      <c r="I129" s="22" t="s">
        <v>2849</v>
      </c>
    </row>
    <row r="130" spans="8:9">
      <c r="H130" s="12" t="s">
        <v>171</v>
      </c>
      <c r="I130" s="23" t="s">
        <v>2850</v>
      </c>
    </row>
    <row r="131" spans="8:9">
      <c r="H131" s="12" t="s">
        <v>172</v>
      </c>
      <c r="I131" s="22" t="s">
        <v>2848</v>
      </c>
    </row>
    <row r="132" spans="8:9">
      <c r="H132" s="12" t="s">
        <v>173</v>
      </c>
      <c r="I132" s="22" t="s">
        <v>2849</v>
      </c>
    </row>
    <row r="133" spans="8:9">
      <c r="H133" s="12" t="s">
        <v>174</v>
      </c>
      <c r="I133" s="22" t="s">
        <v>2849</v>
      </c>
    </row>
    <row r="134" spans="8:9">
      <c r="H134" s="20" t="s">
        <v>175</v>
      </c>
      <c r="I134" s="22" t="s">
        <v>2848</v>
      </c>
    </row>
    <row r="135" spans="8:9">
      <c r="H135" s="20" t="s">
        <v>176</v>
      </c>
      <c r="I135" s="22" t="s">
        <v>2850</v>
      </c>
    </row>
    <row r="136" spans="8:9">
      <c r="H136" s="20" t="s">
        <v>177</v>
      </c>
      <c r="I136" s="22" t="s">
        <v>2849</v>
      </c>
    </row>
    <row r="137" spans="8:9">
      <c r="H137" s="20" t="s">
        <v>178</v>
      </c>
      <c r="I137" s="22" t="s">
        <v>2848</v>
      </c>
    </row>
    <row r="138" spans="8:9">
      <c r="H138" s="20" t="s">
        <v>179</v>
      </c>
      <c r="I138" s="23" t="s">
        <v>2850</v>
      </c>
    </row>
    <row r="139" spans="8:9">
      <c r="H139" s="20" t="s">
        <v>180</v>
      </c>
      <c r="I139" s="22" t="s">
        <v>2849</v>
      </c>
    </row>
    <row r="140" spans="8:9">
      <c r="H140" s="20" t="s">
        <v>181</v>
      </c>
      <c r="I140" s="22" t="s">
        <v>2849</v>
      </c>
    </row>
    <row r="141" spans="8:9">
      <c r="H141" s="20" t="s">
        <v>182</v>
      </c>
      <c r="I141" s="22" t="s">
        <v>2849</v>
      </c>
    </row>
    <row r="142" spans="8:9">
      <c r="H142" s="20" t="s">
        <v>183</v>
      </c>
      <c r="I142" s="22" t="s">
        <v>2849</v>
      </c>
    </row>
    <row r="143" spans="8:9">
      <c r="H143" s="20" t="s">
        <v>184</v>
      </c>
      <c r="I143" s="23" t="s">
        <v>2849</v>
      </c>
    </row>
    <row r="144" spans="8:9">
      <c r="H144" s="20" t="s">
        <v>185</v>
      </c>
      <c r="I144" s="23" t="s">
        <v>2850</v>
      </c>
    </row>
    <row r="145" spans="8:9">
      <c r="H145" s="20" t="s">
        <v>186</v>
      </c>
      <c r="I145" s="22" t="s">
        <v>2849</v>
      </c>
    </row>
    <row r="146" spans="8:9">
      <c r="H146" s="20" t="s">
        <v>187</v>
      </c>
      <c r="I146" s="22" t="s">
        <v>2849</v>
      </c>
    </row>
    <row r="147" spans="8:9">
      <c r="H147" s="20" t="s">
        <v>188</v>
      </c>
      <c r="I147" s="22" t="s">
        <v>2848</v>
      </c>
    </row>
    <row r="148" spans="8:9">
      <c r="H148" s="20" t="s">
        <v>189</v>
      </c>
      <c r="I148" s="22" t="s">
        <v>2848</v>
      </c>
    </row>
    <row r="149" spans="8:9">
      <c r="H149" s="20" t="s">
        <v>190</v>
      </c>
      <c r="I149" s="23" t="s">
        <v>2850</v>
      </c>
    </row>
    <row r="150" spans="8:9">
      <c r="H150" s="20" t="s">
        <v>191</v>
      </c>
      <c r="I150" s="23" t="s">
        <v>2852</v>
      </c>
    </row>
    <row r="151" spans="8:9">
      <c r="H151" s="20" t="s">
        <v>192</v>
      </c>
      <c r="I151" s="22" t="s">
        <v>2848</v>
      </c>
    </row>
    <row r="152" spans="8:9">
      <c r="H152" s="20" t="s">
        <v>193</v>
      </c>
      <c r="I152" s="22" t="s">
        <v>2848</v>
      </c>
    </row>
    <row r="153" spans="8:9">
      <c r="H153" s="20" t="s">
        <v>194</v>
      </c>
      <c r="I153" s="22" t="s">
        <v>2848</v>
      </c>
    </row>
    <row r="154" spans="8:9">
      <c r="H154" s="20" t="s">
        <v>195</v>
      </c>
      <c r="I154" s="22" t="s">
        <v>2848</v>
      </c>
    </row>
    <row r="155" spans="8:9">
      <c r="H155" s="20" t="s">
        <v>196</v>
      </c>
      <c r="I155" s="22" t="s">
        <v>2848</v>
      </c>
    </row>
    <row r="156" spans="8:9">
      <c r="H156" s="20" t="s">
        <v>197</v>
      </c>
      <c r="I156" s="22" t="s">
        <v>2848</v>
      </c>
    </row>
    <row r="157" spans="8:9">
      <c r="H157" s="20" t="s">
        <v>198</v>
      </c>
      <c r="I157" s="22" t="s">
        <v>2852</v>
      </c>
    </row>
    <row r="158" spans="8:9">
      <c r="H158" s="20" t="s">
        <v>199</v>
      </c>
      <c r="I158" s="22" t="s">
        <v>2849</v>
      </c>
    </row>
    <row r="159" spans="8:9">
      <c r="H159" s="20" t="s">
        <v>200</v>
      </c>
      <c r="I159" s="23" t="s">
        <v>2850</v>
      </c>
    </row>
    <row r="160" spans="8:9">
      <c r="H160" s="20" t="s">
        <v>201</v>
      </c>
      <c r="I160" s="23" t="s">
        <v>2849</v>
      </c>
    </row>
    <row r="161" spans="8:9">
      <c r="H161" s="20" t="s">
        <v>202</v>
      </c>
      <c r="I161" s="22" t="s">
        <v>2849</v>
      </c>
    </row>
    <row r="162" spans="8:9">
      <c r="H162" s="20" t="s">
        <v>203</v>
      </c>
      <c r="I162" s="23" t="s">
        <v>2849</v>
      </c>
    </row>
    <row r="163" spans="8:9">
      <c r="H163" s="20" t="s">
        <v>204</v>
      </c>
      <c r="I163" s="23" t="s">
        <v>2849</v>
      </c>
    </row>
    <row r="164" spans="8:9">
      <c r="H164" s="20" t="s">
        <v>205</v>
      </c>
      <c r="I164" s="22" t="s">
        <v>2849</v>
      </c>
    </row>
    <row r="165" spans="8:9">
      <c r="H165" s="20" t="s">
        <v>206</v>
      </c>
      <c r="I165" s="22" t="s">
        <v>2848</v>
      </c>
    </row>
    <row r="166" spans="8:9">
      <c r="H166" s="20" t="s">
        <v>207</v>
      </c>
      <c r="I166" s="23" t="s">
        <v>2852</v>
      </c>
    </row>
    <row r="167" spans="8:9">
      <c r="H167" s="20" t="s">
        <v>208</v>
      </c>
      <c r="I167" s="22" t="s">
        <v>2848</v>
      </c>
    </row>
    <row r="168" spans="8:9">
      <c r="H168" s="20" t="s">
        <v>209</v>
      </c>
      <c r="I168" s="23" t="s">
        <v>2850</v>
      </c>
    </row>
    <row r="169" spans="8:9">
      <c r="H169" s="20" t="s">
        <v>210</v>
      </c>
      <c r="I169" s="22" t="s">
        <v>2848</v>
      </c>
    </row>
    <row r="170" spans="8:9">
      <c r="H170" s="20" t="s">
        <v>211</v>
      </c>
      <c r="I170" s="23" t="s">
        <v>2850</v>
      </c>
    </row>
    <row r="171" spans="8:9">
      <c r="H171" s="20" t="s">
        <v>212</v>
      </c>
      <c r="I171" s="23" t="s">
        <v>2852</v>
      </c>
    </row>
    <row r="172" spans="8:9">
      <c r="H172" s="20" t="s">
        <v>213</v>
      </c>
      <c r="I172" s="23" t="s">
        <v>2850</v>
      </c>
    </row>
    <row r="173" spans="8:9">
      <c r="H173" s="20" t="s">
        <v>214</v>
      </c>
      <c r="I173" s="22" t="s">
        <v>2848</v>
      </c>
    </row>
    <row r="174" spans="8:9">
      <c r="H174" s="20" t="s">
        <v>215</v>
      </c>
      <c r="I174" s="22" t="s">
        <v>2849</v>
      </c>
    </row>
    <row r="175" spans="8:9">
      <c r="H175" s="20" t="s">
        <v>216</v>
      </c>
      <c r="I175" s="23" t="s">
        <v>2850</v>
      </c>
    </row>
    <row r="176" spans="8:9">
      <c r="H176" s="20" t="s">
        <v>217</v>
      </c>
      <c r="I176" s="23" t="s">
        <v>2849</v>
      </c>
    </row>
    <row r="177" spans="8:9">
      <c r="H177" s="20" t="s">
        <v>218</v>
      </c>
      <c r="I177" s="22" t="s">
        <v>2849</v>
      </c>
    </row>
    <row r="178" spans="8:9">
      <c r="H178" s="20" t="s">
        <v>219</v>
      </c>
      <c r="I178" s="22" t="s">
        <v>2848</v>
      </c>
    </row>
    <row r="179" spans="8:9">
      <c r="H179" s="20" t="s">
        <v>220</v>
      </c>
      <c r="I179" s="22" t="s">
        <v>2848</v>
      </c>
    </row>
    <row r="180" spans="8:9">
      <c r="H180" s="20" t="s">
        <v>221</v>
      </c>
      <c r="I180" s="22" t="s">
        <v>2849</v>
      </c>
    </row>
    <row r="181" spans="8:9">
      <c r="H181" s="20" t="s">
        <v>222</v>
      </c>
      <c r="I181" s="23" t="s">
        <v>2850</v>
      </c>
    </row>
    <row r="182" spans="8:9">
      <c r="H182" s="20" t="s">
        <v>223</v>
      </c>
      <c r="I182" s="22" t="s">
        <v>2849</v>
      </c>
    </row>
    <row r="183" spans="8:9">
      <c r="H183" s="20" t="s">
        <v>224</v>
      </c>
      <c r="I183" s="22" t="s">
        <v>2848</v>
      </c>
    </row>
    <row r="184" spans="8:9">
      <c r="H184" s="20" t="s">
        <v>225</v>
      </c>
      <c r="I184" s="22" t="s">
        <v>2848</v>
      </c>
    </row>
    <row r="185" spans="8:9">
      <c r="H185" s="20" t="s">
        <v>226</v>
      </c>
      <c r="I185" s="22" t="s">
        <v>2848</v>
      </c>
    </row>
    <row r="186" spans="8:9">
      <c r="H186" s="20" t="s">
        <v>227</v>
      </c>
      <c r="I186" s="23" t="s">
        <v>2852</v>
      </c>
    </row>
    <row r="187" spans="8:9">
      <c r="H187" s="20" t="s">
        <v>228</v>
      </c>
      <c r="I187" s="23" t="s">
        <v>2852</v>
      </c>
    </row>
    <row r="188" spans="8:9">
      <c r="H188" s="20" t="s">
        <v>229</v>
      </c>
      <c r="I188" s="23" t="s">
        <v>2850</v>
      </c>
    </row>
    <row r="189" spans="8:9">
      <c r="H189" s="20" t="s">
        <v>230</v>
      </c>
      <c r="I189" s="23" t="s">
        <v>2850</v>
      </c>
    </row>
    <row r="190" spans="8:9">
      <c r="H190" s="20" t="s">
        <v>231</v>
      </c>
      <c r="I190" s="23" t="s">
        <v>2852</v>
      </c>
    </row>
    <row r="191" spans="8:9">
      <c r="H191" s="20" t="s">
        <v>232</v>
      </c>
      <c r="I191" s="23" t="s">
        <v>2852</v>
      </c>
    </row>
    <row r="192" spans="8:9">
      <c r="H192" s="20" t="s">
        <v>233</v>
      </c>
      <c r="I192" s="22" t="s">
        <v>2848</v>
      </c>
    </row>
    <row r="193" spans="8:9">
      <c r="H193" s="20" t="s">
        <v>234</v>
      </c>
      <c r="I193" s="22" t="s">
        <v>2848</v>
      </c>
    </row>
    <row r="194" spans="8:9">
      <c r="H194" s="20" t="s">
        <v>235</v>
      </c>
      <c r="I194" s="22" t="s">
        <v>2848</v>
      </c>
    </row>
    <row r="195" spans="8:9">
      <c r="H195" s="20" t="s">
        <v>236</v>
      </c>
      <c r="I195" s="22" t="s">
        <v>2848</v>
      </c>
    </row>
    <row r="196" spans="8:9">
      <c r="H196" s="20" t="s">
        <v>237</v>
      </c>
      <c r="I196" s="22" t="s">
        <v>2848</v>
      </c>
    </row>
    <row r="197" spans="8:9">
      <c r="H197" s="20" t="s">
        <v>238</v>
      </c>
      <c r="I197" s="23" t="s">
        <v>2850</v>
      </c>
    </row>
    <row r="198" spans="8:9">
      <c r="H198" s="20" t="s">
        <v>239</v>
      </c>
      <c r="I198" s="22" t="s">
        <v>2850</v>
      </c>
    </row>
    <row r="199" spans="8:9">
      <c r="H199" s="20" t="s">
        <v>240</v>
      </c>
      <c r="I199" s="22" t="s">
        <v>2848</v>
      </c>
    </row>
    <row r="200" spans="8:9">
      <c r="H200" s="20" t="s">
        <v>241</v>
      </c>
      <c r="I200" s="22" t="s">
        <v>2848</v>
      </c>
    </row>
    <row r="201" spans="8:9">
      <c r="H201" s="20" t="s">
        <v>242</v>
      </c>
      <c r="I201" s="22" t="s">
        <v>2848</v>
      </c>
    </row>
    <row r="202" spans="8:9">
      <c r="H202" s="20" t="s">
        <v>243</v>
      </c>
      <c r="I202" s="22" t="s">
        <v>2848</v>
      </c>
    </row>
    <row r="203" spans="8:9">
      <c r="H203" s="20" t="s">
        <v>244</v>
      </c>
      <c r="I203" s="22" t="s">
        <v>2848</v>
      </c>
    </row>
    <row r="204" spans="8:9">
      <c r="H204" s="20" t="s">
        <v>245</v>
      </c>
      <c r="I204" s="22" t="s">
        <v>2848</v>
      </c>
    </row>
    <row r="205" spans="8:9">
      <c r="H205" s="20" t="s">
        <v>246</v>
      </c>
      <c r="I205" s="22" t="s">
        <v>2849</v>
      </c>
    </row>
    <row r="206" spans="8:9">
      <c r="H206" s="20" t="s">
        <v>247</v>
      </c>
      <c r="I206" s="22" t="s">
        <v>2848</v>
      </c>
    </row>
    <row r="207" spans="8:9">
      <c r="H207" s="20" t="s">
        <v>248</v>
      </c>
      <c r="I207" s="22" t="s">
        <v>2850</v>
      </c>
    </row>
    <row r="208" spans="8:9">
      <c r="H208" s="20" t="s">
        <v>249</v>
      </c>
      <c r="I208" s="22" t="s">
        <v>2849</v>
      </c>
    </row>
    <row r="209" spans="8:9">
      <c r="H209" s="20" t="s">
        <v>250</v>
      </c>
      <c r="I209" s="22" t="s">
        <v>2850</v>
      </c>
    </row>
    <row r="210" spans="8:9">
      <c r="H210" s="20" t="s">
        <v>251</v>
      </c>
      <c r="I210" s="22" t="s">
        <v>2848</v>
      </c>
    </row>
    <row r="211" spans="8:9">
      <c r="H211" s="20" t="s">
        <v>252</v>
      </c>
      <c r="I211" s="22" t="s">
        <v>2849</v>
      </c>
    </row>
    <row r="212" spans="8:9">
      <c r="H212" s="20" t="s">
        <v>253</v>
      </c>
      <c r="I212" s="22" t="s">
        <v>2848</v>
      </c>
    </row>
    <row r="213" spans="8:9">
      <c r="H213" s="20" t="s">
        <v>254</v>
      </c>
      <c r="I213" s="22" t="s">
        <v>2849</v>
      </c>
    </row>
    <row r="214" spans="8:9">
      <c r="H214" s="20" t="s">
        <v>255</v>
      </c>
      <c r="I214" s="22" t="s">
        <v>2848</v>
      </c>
    </row>
    <row r="215" spans="8:9">
      <c r="H215" s="20" t="s">
        <v>256</v>
      </c>
      <c r="I215" s="23" t="s">
        <v>2852</v>
      </c>
    </row>
    <row r="216" spans="8:9">
      <c r="H216" s="20" t="s">
        <v>257</v>
      </c>
      <c r="I216" s="23" t="s">
        <v>2850</v>
      </c>
    </row>
    <row r="217" spans="8:9">
      <c r="H217" s="20" t="s">
        <v>258</v>
      </c>
      <c r="I217" s="23" t="s">
        <v>2849</v>
      </c>
    </row>
    <row r="218" spans="8:9">
      <c r="H218" s="20" t="s">
        <v>259</v>
      </c>
      <c r="I218" s="23" t="s">
        <v>2852</v>
      </c>
    </row>
    <row r="219" spans="8:9">
      <c r="H219" s="20" t="s">
        <v>260</v>
      </c>
      <c r="I219" s="23" t="s">
        <v>2850</v>
      </c>
    </row>
    <row r="220" spans="8:9">
      <c r="H220" s="20" t="s">
        <v>261</v>
      </c>
      <c r="I220" s="23" t="s">
        <v>2850</v>
      </c>
    </row>
    <row r="221" spans="8:9">
      <c r="H221" s="20" t="s">
        <v>262</v>
      </c>
      <c r="I221" s="23" t="s">
        <v>2850</v>
      </c>
    </row>
    <row r="222" spans="8:9">
      <c r="H222" s="20" t="s">
        <v>263</v>
      </c>
      <c r="I222" s="23" t="s">
        <v>2852</v>
      </c>
    </row>
    <row r="223" spans="8:9">
      <c r="H223" s="20" t="s">
        <v>264</v>
      </c>
      <c r="I223" s="23" t="s">
        <v>2852</v>
      </c>
    </row>
    <row r="224" spans="8:9">
      <c r="H224" s="20" t="s">
        <v>265</v>
      </c>
      <c r="I224" s="23" t="s">
        <v>2849</v>
      </c>
    </row>
    <row r="225" spans="8:9">
      <c r="H225" s="20" t="s">
        <v>266</v>
      </c>
      <c r="I225" s="23" t="s">
        <v>2850</v>
      </c>
    </row>
    <row r="226" spans="8:9">
      <c r="H226" s="20" t="s">
        <v>267</v>
      </c>
      <c r="I226" s="22" t="s">
        <v>2848</v>
      </c>
    </row>
    <row r="227" spans="8:9">
      <c r="H227" s="20" t="s">
        <v>268</v>
      </c>
      <c r="I227" s="22" t="s">
        <v>2848</v>
      </c>
    </row>
    <row r="228" spans="8:9">
      <c r="H228" s="20" t="s">
        <v>269</v>
      </c>
      <c r="I228" s="22" t="s">
        <v>2848</v>
      </c>
    </row>
    <row r="229" spans="8:9">
      <c r="H229" s="20" t="s">
        <v>270</v>
      </c>
      <c r="I229" s="22" t="s">
        <v>2849</v>
      </c>
    </row>
    <row r="230" spans="8:9">
      <c r="H230" s="20" t="s">
        <v>271</v>
      </c>
      <c r="I230" s="22" t="s">
        <v>2849</v>
      </c>
    </row>
    <row r="231" spans="8:9">
      <c r="H231" s="20" t="s">
        <v>272</v>
      </c>
      <c r="I231" s="23" t="s">
        <v>2850</v>
      </c>
    </row>
    <row r="232" spans="8:9">
      <c r="H232" s="20" t="s">
        <v>273</v>
      </c>
      <c r="I232" s="23" t="s">
        <v>2850</v>
      </c>
    </row>
    <row r="233" spans="8:9">
      <c r="H233" s="20" t="s">
        <v>274</v>
      </c>
      <c r="I233" s="22" t="s">
        <v>2849</v>
      </c>
    </row>
    <row r="234" spans="8:9">
      <c r="H234" s="20" t="s">
        <v>275</v>
      </c>
      <c r="I234" s="22" t="s">
        <v>2848</v>
      </c>
    </row>
    <row r="235" spans="8:9">
      <c r="H235" s="20" t="s">
        <v>276</v>
      </c>
      <c r="I235" s="22" t="s">
        <v>2848</v>
      </c>
    </row>
    <row r="236" spans="8:9">
      <c r="H236" s="20" t="s">
        <v>277</v>
      </c>
      <c r="I236" s="22" t="s">
        <v>2849</v>
      </c>
    </row>
    <row r="237" spans="8:9">
      <c r="H237" s="20" t="s">
        <v>278</v>
      </c>
      <c r="I237" s="23" t="s">
        <v>2852</v>
      </c>
    </row>
    <row r="238" spans="8:9">
      <c r="H238" s="20" t="s">
        <v>279</v>
      </c>
      <c r="I238" s="22" t="s">
        <v>2849</v>
      </c>
    </row>
    <row r="239" spans="8:9">
      <c r="H239" s="20" t="s">
        <v>280</v>
      </c>
      <c r="I239" s="22" t="s">
        <v>2849</v>
      </c>
    </row>
    <row r="240" spans="8:9">
      <c r="H240" s="20" t="s">
        <v>281</v>
      </c>
      <c r="I240" s="23" t="s">
        <v>2849</v>
      </c>
    </row>
    <row r="241" spans="8:9">
      <c r="H241" s="20" t="s">
        <v>282</v>
      </c>
      <c r="I241" s="23" t="s">
        <v>2849</v>
      </c>
    </row>
    <row r="242" spans="8:9">
      <c r="H242" s="20" t="s">
        <v>283</v>
      </c>
      <c r="I242" s="23" t="s">
        <v>2848</v>
      </c>
    </row>
    <row r="243" spans="8:9">
      <c r="H243" s="20" t="s">
        <v>284</v>
      </c>
      <c r="I243" s="22" t="s">
        <v>2852</v>
      </c>
    </row>
    <row r="244" spans="8:9">
      <c r="H244" s="20" t="s">
        <v>285</v>
      </c>
      <c r="I244" s="22" t="s">
        <v>2852</v>
      </c>
    </row>
    <row r="245" spans="8:9">
      <c r="H245" s="20" t="s">
        <v>286</v>
      </c>
      <c r="I245" s="23" t="s">
        <v>2852</v>
      </c>
    </row>
    <row r="246" spans="8:9">
      <c r="H246" s="20" t="s">
        <v>287</v>
      </c>
      <c r="I246" s="23" t="s">
        <v>2849</v>
      </c>
    </row>
    <row r="247" spans="8:9">
      <c r="H247" s="20" t="s">
        <v>288</v>
      </c>
      <c r="I247" s="23" t="s">
        <v>2849</v>
      </c>
    </row>
    <row r="248" spans="8:9">
      <c r="H248" s="20" t="s">
        <v>289</v>
      </c>
      <c r="I248" s="23" t="s">
        <v>2849</v>
      </c>
    </row>
    <row r="249" spans="8:9">
      <c r="H249" s="20" t="s">
        <v>290</v>
      </c>
      <c r="I249" s="23" t="s">
        <v>2852</v>
      </c>
    </row>
    <row r="250" spans="8:9">
      <c r="H250" s="20" t="s">
        <v>291</v>
      </c>
      <c r="I250" s="22" t="s">
        <v>2852</v>
      </c>
    </row>
    <row r="251" spans="8:9">
      <c r="H251" s="20" t="s">
        <v>292</v>
      </c>
      <c r="I251" s="22" t="s">
        <v>2852</v>
      </c>
    </row>
    <row r="252" spans="8:9">
      <c r="H252" s="20" t="s">
        <v>293</v>
      </c>
      <c r="I252" s="22" t="s">
        <v>2848</v>
      </c>
    </row>
    <row r="253" spans="8:9">
      <c r="H253" s="20" t="s">
        <v>294</v>
      </c>
      <c r="I253" s="23" t="s">
        <v>2850</v>
      </c>
    </row>
    <row r="254" spans="8:9">
      <c r="H254" s="20" t="s">
        <v>295</v>
      </c>
      <c r="I254" s="23" t="s">
        <v>2850</v>
      </c>
    </row>
    <row r="255" spans="8:9">
      <c r="H255" s="20" t="s">
        <v>296</v>
      </c>
      <c r="I255" s="22" t="s">
        <v>2849</v>
      </c>
    </row>
    <row r="256" spans="8:9">
      <c r="H256" s="20" t="s">
        <v>297</v>
      </c>
      <c r="I256" s="22" t="s">
        <v>2848</v>
      </c>
    </row>
    <row r="257" spans="8:9">
      <c r="H257" s="20" t="s">
        <v>298</v>
      </c>
      <c r="I257" s="22" t="s">
        <v>2848</v>
      </c>
    </row>
    <row r="258" spans="8:9">
      <c r="H258" s="20" t="s">
        <v>299</v>
      </c>
      <c r="I258" s="22" t="s">
        <v>2848</v>
      </c>
    </row>
    <row r="259" spans="8:9">
      <c r="H259" s="20" t="s">
        <v>300</v>
      </c>
      <c r="I259" s="22" t="s">
        <v>2848</v>
      </c>
    </row>
    <row r="260" spans="8:9">
      <c r="H260" s="20" t="s">
        <v>301</v>
      </c>
      <c r="I260" s="22" t="s">
        <v>2849</v>
      </c>
    </row>
    <row r="261" spans="8:9">
      <c r="H261" s="20" t="s">
        <v>302</v>
      </c>
      <c r="I261" s="22" t="s">
        <v>2849</v>
      </c>
    </row>
    <row r="262" spans="8:9">
      <c r="H262" s="20" t="s">
        <v>303</v>
      </c>
      <c r="I262" s="23" t="s">
        <v>2850</v>
      </c>
    </row>
    <row r="263" spans="8:9">
      <c r="H263" s="20" t="s">
        <v>304</v>
      </c>
      <c r="I263" s="23" t="s">
        <v>2852</v>
      </c>
    </row>
    <row r="264" spans="8:9">
      <c r="H264" s="20" t="s">
        <v>305</v>
      </c>
      <c r="I264" s="22" t="s">
        <v>2849</v>
      </c>
    </row>
    <row r="265" spans="8:9">
      <c r="H265" s="20" t="s">
        <v>306</v>
      </c>
      <c r="I265" s="22" t="s">
        <v>2849</v>
      </c>
    </row>
    <row r="266" spans="8:9">
      <c r="H266" s="20" t="s">
        <v>307</v>
      </c>
      <c r="I266" s="22" t="s">
        <v>2849</v>
      </c>
    </row>
    <row r="267" spans="8:9">
      <c r="H267" s="20" t="s">
        <v>308</v>
      </c>
      <c r="I267" s="22" t="s">
        <v>2849</v>
      </c>
    </row>
    <row r="268" spans="8:9">
      <c r="H268" s="20" t="s">
        <v>309</v>
      </c>
      <c r="I268" s="22" t="s">
        <v>2848</v>
      </c>
    </row>
    <row r="269" spans="8:9">
      <c r="H269" s="20" t="s">
        <v>310</v>
      </c>
      <c r="I269" s="23" t="s">
        <v>2852</v>
      </c>
    </row>
    <row r="270" spans="8:9">
      <c r="H270" s="20" t="s">
        <v>311</v>
      </c>
      <c r="I270" s="23" t="s">
        <v>2852</v>
      </c>
    </row>
    <row r="271" spans="8:9">
      <c r="H271" s="20" t="s">
        <v>312</v>
      </c>
      <c r="I271" s="22" t="s">
        <v>2849</v>
      </c>
    </row>
    <row r="272" spans="8:9">
      <c r="H272" s="20" t="s">
        <v>313</v>
      </c>
      <c r="I272" s="22" t="s">
        <v>2852</v>
      </c>
    </row>
    <row r="273" spans="8:9">
      <c r="H273" s="20" t="s">
        <v>314</v>
      </c>
      <c r="I273" s="22" t="s">
        <v>2852</v>
      </c>
    </row>
    <row r="274" spans="8:9">
      <c r="H274" s="20" t="s">
        <v>315</v>
      </c>
      <c r="I274" s="22" t="s">
        <v>2852</v>
      </c>
    </row>
    <row r="275" spans="8:9">
      <c r="H275" s="20" t="s">
        <v>316</v>
      </c>
      <c r="I275" s="23" t="s">
        <v>2852</v>
      </c>
    </row>
    <row r="276" spans="8:9">
      <c r="H276" s="20" t="s">
        <v>317</v>
      </c>
      <c r="I276" s="23" t="s">
        <v>2849</v>
      </c>
    </row>
    <row r="277" spans="8:9">
      <c r="H277" s="20" t="s">
        <v>318</v>
      </c>
      <c r="I277" s="22" t="s">
        <v>2852</v>
      </c>
    </row>
    <row r="278" spans="8:9">
      <c r="H278" s="20" t="s">
        <v>319</v>
      </c>
      <c r="I278" s="23" t="s">
        <v>2850</v>
      </c>
    </row>
    <row r="279" spans="8:9">
      <c r="H279" s="12" t="s">
        <v>320</v>
      </c>
      <c r="I279" s="22" t="s">
        <v>2849</v>
      </c>
    </row>
    <row r="280" spans="8:9">
      <c r="H280" s="20" t="s">
        <v>321</v>
      </c>
      <c r="I280" s="22" t="s">
        <v>2849</v>
      </c>
    </row>
    <row r="281" spans="8:9">
      <c r="H281" s="20" t="s">
        <v>322</v>
      </c>
      <c r="I281" s="23" t="s">
        <v>2850</v>
      </c>
    </row>
    <row r="282" spans="8:9">
      <c r="H282" s="20" t="s">
        <v>323</v>
      </c>
      <c r="I282" s="22" t="s">
        <v>2849</v>
      </c>
    </row>
    <row r="283" spans="8:9">
      <c r="H283" s="20" t="s">
        <v>324</v>
      </c>
      <c r="I283" s="22" t="s">
        <v>2850</v>
      </c>
    </row>
    <row r="284" spans="8:9">
      <c r="H284" s="20" t="s">
        <v>325</v>
      </c>
      <c r="I284" s="23" t="s">
        <v>2852</v>
      </c>
    </row>
    <row r="285" spans="8:9">
      <c r="H285" s="20" t="s">
        <v>326</v>
      </c>
      <c r="I285" s="22" t="s">
        <v>2848</v>
      </c>
    </row>
    <row r="286" spans="8:9">
      <c r="H286" s="20" t="s">
        <v>327</v>
      </c>
      <c r="I286" s="22" t="s">
        <v>2848</v>
      </c>
    </row>
    <row r="287" spans="8:9">
      <c r="H287" s="20" t="s">
        <v>328</v>
      </c>
      <c r="I287" s="22" t="s">
        <v>2852</v>
      </c>
    </row>
    <row r="288" spans="8:9">
      <c r="H288" s="20" t="s">
        <v>329</v>
      </c>
      <c r="I288" s="23" t="s">
        <v>2850</v>
      </c>
    </row>
    <row r="289" spans="8:9">
      <c r="H289" s="20" t="s">
        <v>330</v>
      </c>
      <c r="I289" s="22" t="s">
        <v>2848</v>
      </c>
    </row>
    <row r="290" spans="8:9">
      <c r="H290" s="20" t="s">
        <v>331</v>
      </c>
      <c r="I290" s="22" t="s">
        <v>2850</v>
      </c>
    </row>
    <row r="291" spans="8:9">
      <c r="H291" s="20" t="s">
        <v>332</v>
      </c>
      <c r="I291" s="23" t="s">
        <v>2852</v>
      </c>
    </row>
    <row r="292" spans="8:9">
      <c r="H292" s="20" t="s">
        <v>333</v>
      </c>
      <c r="I292" s="22" t="s">
        <v>2849</v>
      </c>
    </row>
    <row r="293" spans="8:9">
      <c r="H293" s="20" t="s">
        <v>334</v>
      </c>
      <c r="I293" s="22" t="s">
        <v>2849</v>
      </c>
    </row>
    <row r="294" spans="8:9">
      <c r="H294" s="20" t="s">
        <v>335</v>
      </c>
      <c r="I294" s="22" t="s">
        <v>2849</v>
      </c>
    </row>
    <row r="295" spans="8:9">
      <c r="H295" s="20" t="s">
        <v>336</v>
      </c>
      <c r="I295" s="22" t="s">
        <v>2849</v>
      </c>
    </row>
    <row r="296" spans="8:9">
      <c r="H296" s="20" t="s">
        <v>337</v>
      </c>
      <c r="I296" s="22" t="s">
        <v>2848</v>
      </c>
    </row>
    <row r="297" spans="8:9">
      <c r="H297" s="20" t="s">
        <v>338</v>
      </c>
      <c r="I297" s="22" t="s">
        <v>2849</v>
      </c>
    </row>
    <row r="298" spans="8:9">
      <c r="H298" s="20" t="s">
        <v>339</v>
      </c>
      <c r="I298" s="23" t="s">
        <v>2850</v>
      </c>
    </row>
    <row r="299" spans="8:9">
      <c r="H299" s="20" t="s">
        <v>340</v>
      </c>
      <c r="I299" s="22" t="s">
        <v>2852</v>
      </c>
    </row>
    <row r="300" spans="8:9">
      <c r="H300" s="20" t="s">
        <v>341</v>
      </c>
      <c r="I300" s="22" t="s">
        <v>2849</v>
      </c>
    </row>
    <row r="301" spans="8:9">
      <c r="H301" s="20" t="s">
        <v>342</v>
      </c>
      <c r="I301" s="22" t="s">
        <v>2849</v>
      </c>
    </row>
    <row r="302" spans="8:9">
      <c r="H302" s="20" t="s">
        <v>343</v>
      </c>
      <c r="I302" s="22" t="s">
        <v>2848</v>
      </c>
    </row>
    <row r="303" spans="8:9">
      <c r="H303" s="20" t="s">
        <v>344</v>
      </c>
      <c r="I303" s="22" t="s">
        <v>2849</v>
      </c>
    </row>
    <row r="304" spans="8:9">
      <c r="H304" s="20" t="s">
        <v>345</v>
      </c>
      <c r="I304" s="22" t="s">
        <v>2849</v>
      </c>
    </row>
    <row r="305" spans="8:9">
      <c r="H305" s="20" t="s">
        <v>346</v>
      </c>
      <c r="I305" s="22" t="s">
        <v>2849</v>
      </c>
    </row>
    <row r="306" spans="8:9">
      <c r="H306" s="20" t="s">
        <v>347</v>
      </c>
      <c r="I306" s="22" t="s">
        <v>2849</v>
      </c>
    </row>
    <row r="307" spans="8:9">
      <c r="H307" s="20" t="s">
        <v>348</v>
      </c>
      <c r="I307" s="22" t="s">
        <v>2849</v>
      </c>
    </row>
    <row r="308" spans="8:9">
      <c r="H308" s="20" t="s">
        <v>349</v>
      </c>
      <c r="I308" s="22" t="s">
        <v>2849</v>
      </c>
    </row>
    <row r="309" spans="8:9">
      <c r="H309" s="20" t="s">
        <v>350</v>
      </c>
      <c r="I309" s="22" t="s">
        <v>2849</v>
      </c>
    </row>
    <row r="310" spans="8:9">
      <c r="H310" s="20" t="s">
        <v>351</v>
      </c>
      <c r="I310" s="23" t="s">
        <v>2849</v>
      </c>
    </row>
    <row r="311" spans="8:9">
      <c r="H311" s="20" t="s">
        <v>352</v>
      </c>
      <c r="I311" s="22" t="s">
        <v>2849</v>
      </c>
    </row>
    <row r="312" spans="8:9">
      <c r="H312" s="20" t="s">
        <v>353</v>
      </c>
      <c r="I312" s="22" t="s">
        <v>2849</v>
      </c>
    </row>
    <row r="313" spans="8:9">
      <c r="H313" s="20" t="s">
        <v>354</v>
      </c>
      <c r="I313" s="22" t="s">
        <v>2849</v>
      </c>
    </row>
    <row r="314" spans="8:9">
      <c r="H314" s="20" t="s">
        <v>355</v>
      </c>
      <c r="I314" s="22" t="s">
        <v>2849</v>
      </c>
    </row>
    <row r="315" spans="8:9">
      <c r="H315" s="20" t="s">
        <v>356</v>
      </c>
      <c r="I315" s="22" t="s">
        <v>2848</v>
      </c>
    </row>
    <row r="316" spans="8:9">
      <c r="H316" s="20" t="s">
        <v>357</v>
      </c>
      <c r="I316" s="22" t="s">
        <v>2848</v>
      </c>
    </row>
    <row r="317" spans="8:9">
      <c r="H317" s="20" t="s">
        <v>358</v>
      </c>
      <c r="I317" s="23" t="s">
        <v>2849</v>
      </c>
    </row>
    <row r="318" spans="8:9">
      <c r="H318" s="20" t="s">
        <v>359</v>
      </c>
      <c r="I318" s="23" t="s">
        <v>2849</v>
      </c>
    </row>
    <row r="319" spans="8:9">
      <c r="H319" s="20" t="s">
        <v>360</v>
      </c>
      <c r="I319" s="23" t="s">
        <v>2849</v>
      </c>
    </row>
    <row r="320" spans="8:9">
      <c r="H320" s="20" t="s">
        <v>361</v>
      </c>
      <c r="I320" s="22" t="s">
        <v>2849</v>
      </c>
    </row>
    <row r="321" spans="8:9">
      <c r="H321" s="20" t="s">
        <v>362</v>
      </c>
      <c r="I321" s="22" t="s">
        <v>2852</v>
      </c>
    </row>
    <row r="322" spans="8:9">
      <c r="H322" s="20" t="s">
        <v>363</v>
      </c>
      <c r="I322" s="22" t="s">
        <v>2852</v>
      </c>
    </row>
    <row r="323" spans="8:9">
      <c r="H323" s="20" t="s">
        <v>364</v>
      </c>
      <c r="I323" s="23" t="s">
        <v>2852</v>
      </c>
    </row>
    <row r="324" spans="8:9">
      <c r="H324" s="20" t="s">
        <v>365</v>
      </c>
      <c r="I324" s="22" t="s">
        <v>2848</v>
      </c>
    </row>
    <row r="325" spans="8:9">
      <c r="H325" s="20" t="s">
        <v>366</v>
      </c>
      <c r="I325" s="22" t="s">
        <v>2852</v>
      </c>
    </row>
    <row r="326" spans="8:9">
      <c r="H326" s="20" t="s">
        <v>367</v>
      </c>
      <c r="I326" s="22" t="s">
        <v>2849</v>
      </c>
    </row>
    <row r="327" spans="8:9">
      <c r="H327" s="20" t="s">
        <v>368</v>
      </c>
      <c r="I327" s="23" t="s">
        <v>2850</v>
      </c>
    </row>
    <row r="328" spans="8:9">
      <c r="H328" s="20" t="s">
        <v>369</v>
      </c>
      <c r="I328" s="22" t="s">
        <v>2849</v>
      </c>
    </row>
    <row r="329" spans="8:9">
      <c r="H329" s="20" t="s">
        <v>370</v>
      </c>
      <c r="I329" s="22" t="s">
        <v>2849</v>
      </c>
    </row>
    <row r="330" spans="8:9">
      <c r="H330" s="20" t="s">
        <v>371</v>
      </c>
      <c r="I330" s="22" t="s">
        <v>2848</v>
      </c>
    </row>
    <row r="331" spans="8:9">
      <c r="H331" s="20" t="s">
        <v>372</v>
      </c>
      <c r="I331" s="22" t="s">
        <v>2848</v>
      </c>
    </row>
    <row r="332" spans="8:9">
      <c r="H332" s="20" t="s">
        <v>373</v>
      </c>
      <c r="I332" s="22" t="s">
        <v>2848</v>
      </c>
    </row>
    <row r="333" spans="8:9">
      <c r="H333" s="20" t="s">
        <v>374</v>
      </c>
      <c r="I333" s="23" t="s">
        <v>2850</v>
      </c>
    </row>
    <row r="334" spans="8:9">
      <c r="H334" s="20" t="s">
        <v>375</v>
      </c>
      <c r="I334" s="22" t="s">
        <v>2849</v>
      </c>
    </row>
    <row r="335" spans="8:9">
      <c r="H335" s="20" t="s">
        <v>376</v>
      </c>
      <c r="I335" s="23" t="s">
        <v>2848</v>
      </c>
    </row>
    <row r="336" spans="8:9">
      <c r="H336" s="20" t="s">
        <v>377</v>
      </c>
      <c r="I336" s="22" t="s">
        <v>2849</v>
      </c>
    </row>
    <row r="337" spans="8:9">
      <c r="H337" s="20" t="s">
        <v>378</v>
      </c>
      <c r="I337" s="22" t="s">
        <v>2848</v>
      </c>
    </row>
    <row r="338" spans="8:9">
      <c r="H338" s="20" t="s">
        <v>379</v>
      </c>
      <c r="I338" s="22" t="s">
        <v>2849</v>
      </c>
    </row>
    <row r="339" spans="8:9">
      <c r="H339" s="20" t="s">
        <v>380</v>
      </c>
      <c r="I339" s="22" t="s">
        <v>2848</v>
      </c>
    </row>
    <row r="340" spans="8:9">
      <c r="H340" s="20" t="s">
        <v>381</v>
      </c>
      <c r="I340" s="22" t="s">
        <v>2848</v>
      </c>
    </row>
    <row r="341" spans="8:9">
      <c r="H341" s="20" t="s">
        <v>382</v>
      </c>
      <c r="I341" s="22" t="s">
        <v>2849</v>
      </c>
    </row>
    <row r="342" spans="8:9">
      <c r="H342" s="20" t="s">
        <v>383</v>
      </c>
      <c r="I342" s="22" t="s">
        <v>2852</v>
      </c>
    </row>
    <row r="343" spans="8:9">
      <c r="H343" s="20" t="s">
        <v>384</v>
      </c>
      <c r="I343" s="22" t="s">
        <v>2853</v>
      </c>
    </row>
    <row r="344" spans="8:9">
      <c r="H344" s="20" t="s">
        <v>385</v>
      </c>
      <c r="I344" s="22" t="s">
        <v>2852</v>
      </c>
    </row>
    <row r="345" spans="8:9">
      <c r="H345" s="20" t="s">
        <v>386</v>
      </c>
      <c r="I345" s="23" t="s">
        <v>2852</v>
      </c>
    </row>
    <row r="346" spans="8:9">
      <c r="H346" s="20" t="s">
        <v>387</v>
      </c>
      <c r="I346" s="22" t="s">
        <v>2849</v>
      </c>
    </row>
    <row r="347" spans="8:9">
      <c r="H347" s="20" t="s">
        <v>388</v>
      </c>
      <c r="I347" s="22" t="s">
        <v>2850</v>
      </c>
    </row>
    <row r="348" spans="8:9">
      <c r="H348" s="20" t="s">
        <v>389</v>
      </c>
      <c r="I348" s="22" t="s">
        <v>2850</v>
      </c>
    </row>
    <row r="349" spans="8:9">
      <c r="H349" s="20" t="s">
        <v>390</v>
      </c>
      <c r="I349" s="22" t="s">
        <v>2850</v>
      </c>
    </row>
    <row r="350" spans="8:9">
      <c r="H350" s="20" t="s">
        <v>391</v>
      </c>
      <c r="I350" s="23" t="s">
        <v>2850</v>
      </c>
    </row>
    <row r="351" spans="8:9">
      <c r="H351" s="20" t="s">
        <v>392</v>
      </c>
      <c r="I351" s="22" t="s">
        <v>2850</v>
      </c>
    </row>
    <row r="352" spans="8:9">
      <c r="H352" s="20" t="s">
        <v>393</v>
      </c>
      <c r="I352" s="22" t="s">
        <v>2849</v>
      </c>
    </row>
    <row r="353" spans="8:9">
      <c r="H353" s="20" t="s">
        <v>394</v>
      </c>
      <c r="I353" s="23" t="s">
        <v>2850</v>
      </c>
    </row>
    <row r="354" spans="8:9">
      <c r="H354" s="20" t="s">
        <v>395</v>
      </c>
      <c r="I354" s="22" t="s">
        <v>2850</v>
      </c>
    </row>
    <row r="355" spans="8:9">
      <c r="H355" s="20" t="s">
        <v>396</v>
      </c>
      <c r="I355" s="22" t="s">
        <v>2849</v>
      </c>
    </row>
    <row r="356" spans="8:9">
      <c r="H356" s="20" t="s">
        <v>397</v>
      </c>
      <c r="I356" s="22" t="s">
        <v>2849</v>
      </c>
    </row>
    <row r="357" spans="8:9">
      <c r="H357" s="20" t="s">
        <v>398</v>
      </c>
      <c r="I357" s="23" t="s">
        <v>2849</v>
      </c>
    </row>
    <row r="358" spans="8:9">
      <c r="H358" s="20" t="s">
        <v>399</v>
      </c>
      <c r="I358" s="23" t="s">
        <v>2852</v>
      </c>
    </row>
    <row r="359" spans="8:9">
      <c r="H359" s="20" t="s">
        <v>400</v>
      </c>
      <c r="I359" s="22" t="s">
        <v>2849</v>
      </c>
    </row>
    <row r="360" spans="8:9">
      <c r="H360" s="20" t="s">
        <v>401</v>
      </c>
      <c r="I360" s="22" t="s">
        <v>2848</v>
      </c>
    </row>
    <row r="361" spans="8:9">
      <c r="H361" s="20" t="s">
        <v>402</v>
      </c>
      <c r="I361" s="22" t="s">
        <v>2848</v>
      </c>
    </row>
    <row r="362" spans="8:9">
      <c r="H362" s="20" t="s">
        <v>403</v>
      </c>
      <c r="I362" s="22" t="s">
        <v>2849</v>
      </c>
    </row>
    <row r="363" spans="8:9">
      <c r="H363" s="20" t="s">
        <v>404</v>
      </c>
      <c r="I363" s="22" t="s">
        <v>2849</v>
      </c>
    </row>
    <row r="364" spans="8:9">
      <c r="H364" s="20" t="s">
        <v>405</v>
      </c>
      <c r="I364" s="22" t="s">
        <v>2852</v>
      </c>
    </row>
    <row r="365" spans="8:9">
      <c r="H365" s="20" t="s">
        <v>406</v>
      </c>
      <c r="I365" s="22" t="s">
        <v>2849</v>
      </c>
    </row>
    <row r="366" spans="8:9">
      <c r="H366" s="20" t="s">
        <v>407</v>
      </c>
      <c r="I366" s="22" t="s">
        <v>2852</v>
      </c>
    </row>
    <row r="367" spans="8:9">
      <c r="H367" s="20" t="s">
        <v>408</v>
      </c>
      <c r="I367" s="23" t="s">
        <v>2852</v>
      </c>
    </row>
    <row r="368" spans="8:9">
      <c r="H368" s="20" t="s">
        <v>409</v>
      </c>
      <c r="I368" s="22" t="s">
        <v>2849</v>
      </c>
    </row>
    <row r="369" spans="8:9">
      <c r="H369" s="20" t="s">
        <v>410</v>
      </c>
      <c r="I369" s="22" t="s">
        <v>2849</v>
      </c>
    </row>
    <row r="370" spans="8:9">
      <c r="H370" s="20" t="s">
        <v>411</v>
      </c>
      <c r="I370" s="22" t="s">
        <v>2850</v>
      </c>
    </row>
    <row r="371" spans="8:9">
      <c r="H371" s="20" t="s">
        <v>412</v>
      </c>
      <c r="I371" s="22" t="s">
        <v>2850</v>
      </c>
    </row>
    <row r="372" spans="8:9">
      <c r="H372" s="20" t="s">
        <v>413</v>
      </c>
      <c r="I372" s="23" t="s">
        <v>2850</v>
      </c>
    </row>
    <row r="373" spans="8:9">
      <c r="H373" s="20" t="s">
        <v>414</v>
      </c>
      <c r="I373" s="23" t="s">
        <v>2850</v>
      </c>
    </row>
    <row r="374" spans="8:9">
      <c r="H374" s="20" t="s">
        <v>415</v>
      </c>
      <c r="I374" s="22" t="s">
        <v>2849</v>
      </c>
    </row>
    <row r="375" spans="8:9">
      <c r="H375" s="20" t="s">
        <v>416</v>
      </c>
      <c r="I375" s="22" t="s">
        <v>2848</v>
      </c>
    </row>
    <row r="376" spans="8:9">
      <c r="H376" s="20" t="s">
        <v>417</v>
      </c>
      <c r="I376" s="22" t="s">
        <v>2848</v>
      </c>
    </row>
    <row r="377" spans="8:9">
      <c r="H377" s="20" t="s">
        <v>418</v>
      </c>
      <c r="I377" s="23" t="s">
        <v>2852</v>
      </c>
    </row>
    <row r="378" spans="8:9">
      <c r="H378" s="20" t="s">
        <v>419</v>
      </c>
      <c r="I378" s="22" t="s">
        <v>2849</v>
      </c>
    </row>
    <row r="379" spans="8:9">
      <c r="H379" s="20" t="s">
        <v>420</v>
      </c>
      <c r="I379" s="23" t="s">
        <v>2852</v>
      </c>
    </row>
    <row r="380" spans="8:9">
      <c r="H380" s="20" t="s">
        <v>421</v>
      </c>
      <c r="I380" s="22" t="s">
        <v>2849</v>
      </c>
    </row>
    <row r="381" spans="8:9">
      <c r="H381" s="20" t="s">
        <v>422</v>
      </c>
      <c r="I381" s="22" t="s">
        <v>2849</v>
      </c>
    </row>
    <row r="382" spans="8:9">
      <c r="H382" s="20" t="s">
        <v>423</v>
      </c>
      <c r="I382" s="22" t="s">
        <v>2850</v>
      </c>
    </row>
    <row r="383" spans="8:9">
      <c r="H383" s="20" t="s">
        <v>424</v>
      </c>
      <c r="I383" s="23" t="s">
        <v>2850</v>
      </c>
    </row>
    <row r="384" spans="8:9">
      <c r="H384" s="20" t="s">
        <v>425</v>
      </c>
      <c r="I384" s="23" t="s">
        <v>2852</v>
      </c>
    </row>
    <row r="385" spans="8:9">
      <c r="H385" s="20" t="s">
        <v>426</v>
      </c>
      <c r="I385" s="22" t="s">
        <v>2850</v>
      </c>
    </row>
    <row r="386" spans="8:9">
      <c r="H386" s="20" t="s">
        <v>427</v>
      </c>
      <c r="I386" s="22" t="s">
        <v>2850</v>
      </c>
    </row>
    <row r="387" spans="8:9">
      <c r="H387" s="20" t="s">
        <v>428</v>
      </c>
      <c r="I387" s="22" t="s">
        <v>2850</v>
      </c>
    </row>
    <row r="388" spans="8:9">
      <c r="H388" s="20" t="s">
        <v>429</v>
      </c>
      <c r="I388" s="22" t="s">
        <v>2850</v>
      </c>
    </row>
    <row r="389" spans="8:9">
      <c r="H389" s="20" t="s">
        <v>430</v>
      </c>
      <c r="I389" s="23" t="s">
        <v>2852</v>
      </c>
    </row>
    <row r="390" spans="8:9">
      <c r="H390" s="20" t="s">
        <v>431</v>
      </c>
      <c r="I390" s="22" t="s">
        <v>2850</v>
      </c>
    </row>
    <row r="391" spans="8:9">
      <c r="H391" s="20" t="s">
        <v>432</v>
      </c>
      <c r="I391" s="22" t="s">
        <v>2850</v>
      </c>
    </row>
    <row r="392" spans="8:9">
      <c r="H392" s="20" t="s">
        <v>433</v>
      </c>
      <c r="I392" s="23" t="s">
        <v>2852</v>
      </c>
    </row>
    <row r="393" spans="8:9">
      <c r="H393" s="20" t="s">
        <v>434</v>
      </c>
      <c r="I393" s="23" t="s">
        <v>2852</v>
      </c>
    </row>
    <row r="394" spans="8:9">
      <c r="H394" s="20" t="s">
        <v>435</v>
      </c>
      <c r="I394" s="22" t="s">
        <v>2850</v>
      </c>
    </row>
    <row r="395" spans="8:9">
      <c r="H395" s="20" t="s">
        <v>436</v>
      </c>
      <c r="I395" s="22" t="s">
        <v>2850</v>
      </c>
    </row>
    <row r="396" spans="8:9">
      <c r="H396" s="20" t="s">
        <v>437</v>
      </c>
      <c r="I396" s="23" t="s">
        <v>2852</v>
      </c>
    </row>
    <row r="397" spans="8:9">
      <c r="H397" s="20" t="s">
        <v>438</v>
      </c>
      <c r="I397" s="22" t="s">
        <v>2850</v>
      </c>
    </row>
    <row r="398" spans="8:9">
      <c r="H398" s="20" t="s">
        <v>439</v>
      </c>
      <c r="I398" s="23" t="s">
        <v>2852</v>
      </c>
    </row>
    <row r="399" spans="8:9">
      <c r="H399" s="20" t="s">
        <v>440</v>
      </c>
      <c r="I399" s="22" t="s">
        <v>2850</v>
      </c>
    </row>
    <row r="400" spans="8:9">
      <c r="H400" s="20" t="s">
        <v>441</v>
      </c>
      <c r="I400" s="23" t="s">
        <v>2852</v>
      </c>
    </row>
    <row r="401" spans="8:9">
      <c r="H401" s="20" t="s">
        <v>442</v>
      </c>
      <c r="I401" s="22" t="s">
        <v>2850</v>
      </c>
    </row>
    <row r="402" spans="8:9">
      <c r="H402" s="20" t="s">
        <v>443</v>
      </c>
      <c r="I402" s="22" t="s">
        <v>2850</v>
      </c>
    </row>
    <row r="403" spans="8:9">
      <c r="H403" s="20" t="s">
        <v>444</v>
      </c>
      <c r="I403" s="23" t="s">
        <v>2852</v>
      </c>
    </row>
    <row r="404" spans="8:9">
      <c r="H404" s="20" t="s">
        <v>445</v>
      </c>
      <c r="I404" s="22" t="s">
        <v>2850</v>
      </c>
    </row>
    <row r="405" spans="8:9">
      <c r="H405" s="20" t="s">
        <v>446</v>
      </c>
      <c r="I405" s="22" t="s">
        <v>2850</v>
      </c>
    </row>
    <row r="406" spans="8:9">
      <c r="H406" s="20" t="s">
        <v>447</v>
      </c>
      <c r="I406" s="23" t="s">
        <v>2852</v>
      </c>
    </row>
    <row r="407" spans="8:9">
      <c r="H407" s="20" t="s">
        <v>448</v>
      </c>
      <c r="I407" s="23" t="s">
        <v>2852</v>
      </c>
    </row>
    <row r="408" spans="8:9">
      <c r="H408" s="20" t="s">
        <v>449</v>
      </c>
      <c r="I408" s="22" t="s">
        <v>2850</v>
      </c>
    </row>
    <row r="409" spans="8:9">
      <c r="H409" s="20" t="s">
        <v>450</v>
      </c>
      <c r="I409" s="22" t="s">
        <v>2850</v>
      </c>
    </row>
    <row r="410" spans="8:9">
      <c r="H410" s="20" t="s">
        <v>451</v>
      </c>
      <c r="I410" s="23" t="s">
        <v>2852</v>
      </c>
    </row>
    <row r="411" spans="8:9">
      <c r="H411" s="20" t="s">
        <v>452</v>
      </c>
      <c r="I411" s="22" t="s">
        <v>2850</v>
      </c>
    </row>
    <row r="412" spans="8:9">
      <c r="H412" s="20" t="s">
        <v>453</v>
      </c>
      <c r="I412" s="23" t="s">
        <v>2852</v>
      </c>
    </row>
    <row r="413" spans="8:9">
      <c r="H413" s="20" t="s">
        <v>454</v>
      </c>
      <c r="I413" s="22" t="s">
        <v>2852</v>
      </c>
    </row>
    <row r="414" spans="8:9">
      <c r="H414" s="20" t="s">
        <v>455</v>
      </c>
      <c r="I414" s="23" t="s">
        <v>2852</v>
      </c>
    </row>
    <row r="415" spans="8:9">
      <c r="H415" s="20" t="s">
        <v>456</v>
      </c>
      <c r="I415" s="23" t="s">
        <v>2852</v>
      </c>
    </row>
    <row r="416" spans="8:9">
      <c r="H416" s="20" t="s">
        <v>457</v>
      </c>
      <c r="I416" s="22" t="s">
        <v>2850</v>
      </c>
    </row>
    <row r="417" spans="8:9">
      <c r="H417" s="20" t="s">
        <v>458</v>
      </c>
      <c r="I417" s="22" t="s">
        <v>2850</v>
      </c>
    </row>
    <row r="418" spans="8:9">
      <c r="H418" s="20" t="s">
        <v>459</v>
      </c>
      <c r="I418" s="22" t="s">
        <v>2850</v>
      </c>
    </row>
    <row r="419" spans="8:9">
      <c r="H419" s="20" t="s">
        <v>460</v>
      </c>
      <c r="I419" s="22" t="s">
        <v>2850</v>
      </c>
    </row>
    <row r="420" spans="8:9">
      <c r="H420" s="20" t="s">
        <v>461</v>
      </c>
      <c r="I420" s="23" t="s">
        <v>2850</v>
      </c>
    </row>
    <row r="421" spans="8:9">
      <c r="H421" s="20" t="s">
        <v>462</v>
      </c>
      <c r="I421" s="23" t="s">
        <v>2852</v>
      </c>
    </row>
    <row r="422" spans="8:9">
      <c r="H422" s="20" t="s">
        <v>463</v>
      </c>
      <c r="I422" s="22" t="s">
        <v>2852</v>
      </c>
    </row>
    <row r="423" spans="8:9">
      <c r="H423" s="20" t="s">
        <v>464</v>
      </c>
      <c r="I423" s="22" t="s">
        <v>2850</v>
      </c>
    </row>
    <row r="424" spans="8:9">
      <c r="H424" s="20" t="s">
        <v>465</v>
      </c>
      <c r="I424" s="23" t="s">
        <v>2850</v>
      </c>
    </row>
    <row r="425" spans="8:9">
      <c r="H425" s="20" t="s">
        <v>465</v>
      </c>
      <c r="I425" s="22" t="s">
        <v>2850</v>
      </c>
    </row>
    <row r="426" spans="8:9">
      <c r="H426" s="20" t="s">
        <v>466</v>
      </c>
      <c r="I426" s="22" t="s">
        <v>2850</v>
      </c>
    </row>
    <row r="427" spans="8:9">
      <c r="H427" s="20" t="s">
        <v>467</v>
      </c>
      <c r="I427" s="22" t="s">
        <v>2850</v>
      </c>
    </row>
    <row r="428" spans="8:9">
      <c r="H428" s="20" t="s">
        <v>468</v>
      </c>
      <c r="I428" s="23" t="s">
        <v>2852</v>
      </c>
    </row>
    <row r="429" spans="8:9">
      <c r="H429" s="20" t="s">
        <v>469</v>
      </c>
      <c r="I429" s="22" t="s">
        <v>2848</v>
      </c>
    </row>
    <row r="430" spans="8:9">
      <c r="H430" s="20" t="s">
        <v>470</v>
      </c>
      <c r="I430" s="22" t="s">
        <v>2849</v>
      </c>
    </row>
    <row r="431" spans="8:9">
      <c r="H431" s="20" t="s">
        <v>471</v>
      </c>
      <c r="I431" s="23" t="s">
        <v>2850</v>
      </c>
    </row>
    <row r="432" spans="8:9">
      <c r="H432" s="20" t="s">
        <v>472</v>
      </c>
      <c r="I432" s="23" t="s">
        <v>2848</v>
      </c>
    </row>
    <row r="433" spans="8:9">
      <c r="H433" s="20" t="s">
        <v>473</v>
      </c>
      <c r="I433" s="23" t="s">
        <v>2849</v>
      </c>
    </row>
    <row r="434" spans="8:9">
      <c r="H434" s="20" t="s">
        <v>474</v>
      </c>
      <c r="I434" s="23" t="s">
        <v>2849</v>
      </c>
    </row>
    <row r="435" spans="8:9">
      <c r="H435" s="20" t="s">
        <v>475</v>
      </c>
      <c r="I435" s="23" t="s">
        <v>2850</v>
      </c>
    </row>
    <row r="436" spans="8:9">
      <c r="H436" s="20" t="s">
        <v>476</v>
      </c>
      <c r="I436" s="23" t="s">
        <v>2850</v>
      </c>
    </row>
    <row r="437" spans="8:9">
      <c r="H437" s="20" t="s">
        <v>477</v>
      </c>
      <c r="I437" s="22" t="s">
        <v>2849</v>
      </c>
    </row>
    <row r="438" spans="8:9">
      <c r="H438" s="20" t="s">
        <v>478</v>
      </c>
      <c r="I438" s="22" t="s">
        <v>2849</v>
      </c>
    </row>
    <row r="439" spans="8:9">
      <c r="H439" s="20" t="s">
        <v>479</v>
      </c>
      <c r="I439" s="22" t="s">
        <v>2848</v>
      </c>
    </row>
    <row r="440" spans="8:9">
      <c r="H440" s="20" t="s">
        <v>480</v>
      </c>
      <c r="I440" s="23" t="s">
        <v>2852</v>
      </c>
    </row>
    <row r="441" spans="8:9">
      <c r="H441" s="20" t="s">
        <v>481</v>
      </c>
      <c r="I441" s="22" t="s">
        <v>2848</v>
      </c>
    </row>
    <row r="442" spans="8:9">
      <c r="H442" s="20" t="s">
        <v>482</v>
      </c>
      <c r="I442" s="23" t="s">
        <v>2848</v>
      </c>
    </row>
    <row r="443" spans="8:9">
      <c r="H443" s="20" t="s">
        <v>483</v>
      </c>
      <c r="I443" s="22" t="s">
        <v>2849</v>
      </c>
    </row>
    <row r="444" spans="8:9">
      <c r="H444" s="20" t="s">
        <v>484</v>
      </c>
      <c r="I444" s="22" t="s">
        <v>2848</v>
      </c>
    </row>
    <row r="445" spans="8:9">
      <c r="H445" s="12" t="s">
        <v>485</v>
      </c>
      <c r="I445" s="22" t="s">
        <v>2849</v>
      </c>
    </row>
    <row r="446" spans="8:9">
      <c r="H446" s="20" t="s">
        <v>486</v>
      </c>
      <c r="I446" s="22" t="s">
        <v>2849</v>
      </c>
    </row>
    <row r="447" spans="8:9">
      <c r="H447" s="20" t="s">
        <v>487</v>
      </c>
      <c r="I447" s="22" t="s">
        <v>2848</v>
      </c>
    </row>
    <row r="448" spans="8:9">
      <c r="H448" s="20" t="s">
        <v>488</v>
      </c>
      <c r="I448" s="22" t="s">
        <v>2849</v>
      </c>
    </row>
    <row r="449" spans="8:9">
      <c r="H449" s="20" t="s">
        <v>489</v>
      </c>
      <c r="I449" s="22" t="s">
        <v>2849</v>
      </c>
    </row>
    <row r="450" spans="8:9">
      <c r="H450" s="20" t="s">
        <v>490</v>
      </c>
      <c r="I450" s="23" t="s">
        <v>2849</v>
      </c>
    </row>
    <row r="451" spans="8:9">
      <c r="H451" s="20" t="s">
        <v>491</v>
      </c>
      <c r="I451" s="22" t="s">
        <v>2849</v>
      </c>
    </row>
    <row r="452" spans="8:9">
      <c r="H452" s="20" t="s">
        <v>492</v>
      </c>
      <c r="I452" s="22" t="s">
        <v>2848</v>
      </c>
    </row>
    <row r="453" spans="8:9">
      <c r="H453" s="20" t="s">
        <v>493</v>
      </c>
      <c r="I453" s="22" t="s">
        <v>2849</v>
      </c>
    </row>
    <row r="454" spans="8:9">
      <c r="H454" s="20" t="s">
        <v>494</v>
      </c>
      <c r="I454" s="23" t="s">
        <v>2849</v>
      </c>
    </row>
    <row r="455" spans="8:9">
      <c r="H455" s="20" t="s">
        <v>495</v>
      </c>
      <c r="I455" s="22" t="s">
        <v>2848</v>
      </c>
    </row>
    <row r="456" spans="8:9">
      <c r="H456" s="20" t="s">
        <v>496</v>
      </c>
      <c r="I456" s="22" t="s">
        <v>2848</v>
      </c>
    </row>
    <row r="457" spans="8:9">
      <c r="H457" s="20" t="s">
        <v>497</v>
      </c>
      <c r="I457" s="22" t="s">
        <v>2849</v>
      </c>
    </row>
    <row r="458" spans="8:9">
      <c r="H458" s="20" t="s">
        <v>498</v>
      </c>
      <c r="I458" s="23" t="s">
        <v>2850</v>
      </c>
    </row>
    <row r="459" spans="8:9">
      <c r="H459" s="20" t="s">
        <v>499</v>
      </c>
      <c r="I459" s="22" t="s">
        <v>2848</v>
      </c>
    </row>
    <row r="460" spans="8:9">
      <c r="H460" s="20" t="s">
        <v>500</v>
      </c>
      <c r="I460" s="22" t="s">
        <v>2849</v>
      </c>
    </row>
    <row r="461" spans="8:9">
      <c r="H461" s="20" t="s">
        <v>501</v>
      </c>
      <c r="I461" s="22" t="s">
        <v>2848</v>
      </c>
    </row>
    <row r="462" spans="8:9">
      <c r="H462" s="20" t="s">
        <v>502</v>
      </c>
      <c r="I462" s="22" t="s">
        <v>2848</v>
      </c>
    </row>
    <row r="463" spans="8:9">
      <c r="H463" s="20" t="s">
        <v>503</v>
      </c>
      <c r="I463" s="22" t="s">
        <v>2848</v>
      </c>
    </row>
    <row r="464" spans="8:9">
      <c r="H464" s="20" t="s">
        <v>504</v>
      </c>
      <c r="I464" s="22" t="s">
        <v>2849</v>
      </c>
    </row>
    <row r="465" spans="8:9">
      <c r="H465" s="20" t="s">
        <v>505</v>
      </c>
      <c r="I465" s="22" t="s">
        <v>2849</v>
      </c>
    </row>
    <row r="466" spans="8:9">
      <c r="H466" s="20" t="s">
        <v>506</v>
      </c>
      <c r="I466" s="23" t="s">
        <v>2850</v>
      </c>
    </row>
    <row r="467" spans="8:9">
      <c r="H467" s="20" t="s">
        <v>507</v>
      </c>
      <c r="I467" s="22" t="s">
        <v>2848</v>
      </c>
    </row>
    <row r="468" spans="8:9">
      <c r="H468" s="20" t="s">
        <v>508</v>
      </c>
      <c r="I468" s="22" t="s">
        <v>2848</v>
      </c>
    </row>
    <row r="469" spans="8:9">
      <c r="H469" s="20" t="s">
        <v>509</v>
      </c>
      <c r="I469" s="23" t="s">
        <v>2852</v>
      </c>
    </row>
    <row r="470" spans="8:9">
      <c r="H470" s="20" t="s">
        <v>510</v>
      </c>
      <c r="I470" s="22" t="s">
        <v>2849</v>
      </c>
    </row>
    <row r="471" spans="8:9">
      <c r="H471" s="20" t="s">
        <v>511</v>
      </c>
      <c r="I471" s="22" t="s">
        <v>2849</v>
      </c>
    </row>
    <row r="472" spans="8:9">
      <c r="H472" s="20" t="s">
        <v>512</v>
      </c>
      <c r="I472" s="22" t="s">
        <v>2848</v>
      </c>
    </row>
    <row r="473" spans="8:9">
      <c r="H473" s="20" t="s">
        <v>513</v>
      </c>
      <c r="I473" s="22" t="s">
        <v>2852</v>
      </c>
    </row>
    <row r="474" spans="8:9">
      <c r="H474" s="20" t="s">
        <v>514</v>
      </c>
      <c r="I474" s="22" t="s">
        <v>2852</v>
      </c>
    </row>
    <row r="475" spans="8:9">
      <c r="H475" s="20" t="s">
        <v>515</v>
      </c>
      <c r="I475" s="22" t="s">
        <v>2852</v>
      </c>
    </row>
    <row r="476" spans="8:9">
      <c r="H476" s="20" t="s">
        <v>516</v>
      </c>
      <c r="I476" s="22" t="s">
        <v>2849</v>
      </c>
    </row>
    <row r="477" spans="8:9">
      <c r="H477" s="20" t="s">
        <v>517</v>
      </c>
      <c r="I477" s="22" t="s">
        <v>2848</v>
      </c>
    </row>
    <row r="478" spans="8:9">
      <c r="H478" s="20" t="s">
        <v>518</v>
      </c>
      <c r="I478" s="23" t="s">
        <v>2849</v>
      </c>
    </row>
    <row r="479" spans="8:9">
      <c r="H479" s="20" t="s">
        <v>519</v>
      </c>
      <c r="I479" s="22" t="s">
        <v>2849</v>
      </c>
    </row>
    <row r="480" spans="8:9">
      <c r="H480" s="20" t="s">
        <v>520</v>
      </c>
      <c r="I480" s="22" t="s">
        <v>2849</v>
      </c>
    </row>
    <row r="481" spans="8:9">
      <c r="H481" s="20" t="s">
        <v>521</v>
      </c>
      <c r="I481" s="22" t="s">
        <v>2848</v>
      </c>
    </row>
    <row r="482" spans="8:9">
      <c r="H482" s="20" t="s">
        <v>522</v>
      </c>
      <c r="I482" s="22" t="s">
        <v>2848</v>
      </c>
    </row>
    <row r="483" spans="8:9">
      <c r="H483" s="20" t="s">
        <v>523</v>
      </c>
      <c r="I483" s="22" t="s">
        <v>2849</v>
      </c>
    </row>
    <row r="484" spans="8:9">
      <c r="H484" s="20" t="s">
        <v>524</v>
      </c>
      <c r="I484" s="22" t="s">
        <v>2849</v>
      </c>
    </row>
    <row r="485" spans="8:9">
      <c r="H485" s="20" t="s">
        <v>525</v>
      </c>
      <c r="I485" s="22" t="s">
        <v>2849</v>
      </c>
    </row>
    <row r="486" spans="8:9">
      <c r="H486" s="20" t="s">
        <v>526</v>
      </c>
      <c r="I486" s="23" t="s">
        <v>2852</v>
      </c>
    </row>
    <row r="487" spans="8:9">
      <c r="H487" s="20" t="s">
        <v>527</v>
      </c>
      <c r="I487" s="22" t="s">
        <v>2848</v>
      </c>
    </row>
    <row r="488" spans="8:9">
      <c r="H488" s="20" t="s">
        <v>528</v>
      </c>
      <c r="I488" s="22" t="s">
        <v>2848</v>
      </c>
    </row>
    <row r="489" spans="8:9">
      <c r="H489" s="20" t="s">
        <v>529</v>
      </c>
      <c r="I489" s="22" t="s">
        <v>2848</v>
      </c>
    </row>
    <row r="490" spans="8:9">
      <c r="H490" s="20" t="s">
        <v>530</v>
      </c>
      <c r="I490" s="22" t="s">
        <v>2848</v>
      </c>
    </row>
    <row r="491" spans="8:9">
      <c r="H491" s="20" t="s">
        <v>531</v>
      </c>
      <c r="I491" s="22" t="s">
        <v>2848</v>
      </c>
    </row>
    <row r="492" spans="8:9">
      <c r="H492" s="20" t="s">
        <v>532</v>
      </c>
      <c r="I492" s="22" t="s">
        <v>2848</v>
      </c>
    </row>
    <row r="493" spans="8:9">
      <c r="H493" s="20" t="s">
        <v>533</v>
      </c>
      <c r="I493" s="22" t="s">
        <v>2850</v>
      </c>
    </row>
    <row r="494" spans="8:9">
      <c r="H494" s="20" t="s">
        <v>534</v>
      </c>
      <c r="I494" s="22" t="s">
        <v>2854</v>
      </c>
    </row>
    <row r="495" spans="8:9">
      <c r="H495" s="20" t="s">
        <v>535</v>
      </c>
      <c r="I495" s="22" t="s">
        <v>2849</v>
      </c>
    </row>
    <row r="496" spans="8:9">
      <c r="H496" s="20" t="s">
        <v>536</v>
      </c>
      <c r="I496" s="22" t="s">
        <v>2849</v>
      </c>
    </row>
    <row r="497" spans="8:9">
      <c r="H497" s="20" t="s">
        <v>537</v>
      </c>
      <c r="I497" s="22" t="s">
        <v>2848</v>
      </c>
    </row>
    <row r="498" spans="8:9">
      <c r="H498" s="20" t="s">
        <v>538</v>
      </c>
      <c r="I498" s="22" t="s">
        <v>2849</v>
      </c>
    </row>
    <row r="499" spans="8:9">
      <c r="H499" s="20" t="s">
        <v>539</v>
      </c>
      <c r="I499" s="22" t="s">
        <v>2849</v>
      </c>
    </row>
    <row r="500" spans="8:9">
      <c r="H500" s="20" t="s">
        <v>540</v>
      </c>
      <c r="I500" s="22" t="s">
        <v>2848</v>
      </c>
    </row>
    <row r="501" spans="8:9">
      <c r="H501" s="20" t="s">
        <v>541</v>
      </c>
      <c r="I501" s="22" t="s">
        <v>2848</v>
      </c>
    </row>
    <row r="502" spans="8:9">
      <c r="H502" s="20" t="s">
        <v>542</v>
      </c>
      <c r="I502" s="22" t="s">
        <v>2848</v>
      </c>
    </row>
    <row r="503" spans="8:9">
      <c r="H503" s="20" t="s">
        <v>543</v>
      </c>
      <c r="I503" s="22" t="s">
        <v>2849</v>
      </c>
    </row>
    <row r="504" spans="8:9">
      <c r="H504" s="20" t="s">
        <v>544</v>
      </c>
      <c r="I504" s="22" t="s">
        <v>2849</v>
      </c>
    </row>
    <row r="505" spans="8:9">
      <c r="H505" s="20" t="s">
        <v>545</v>
      </c>
      <c r="I505" s="22" t="s">
        <v>2849</v>
      </c>
    </row>
    <row r="506" spans="8:9">
      <c r="H506" s="20" t="s">
        <v>546</v>
      </c>
      <c r="I506" s="22" t="s">
        <v>2848</v>
      </c>
    </row>
    <row r="507" spans="8:9">
      <c r="H507" s="20" t="s">
        <v>547</v>
      </c>
      <c r="I507" s="23" t="s">
        <v>2850</v>
      </c>
    </row>
    <row r="508" spans="8:9">
      <c r="H508" s="20" t="s">
        <v>548</v>
      </c>
      <c r="I508" s="23" t="s">
        <v>2849</v>
      </c>
    </row>
    <row r="509" spans="8:9">
      <c r="H509" s="20" t="s">
        <v>549</v>
      </c>
      <c r="I509" s="22" t="s">
        <v>2850</v>
      </c>
    </row>
    <row r="510" spans="8:9">
      <c r="H510" s="20" t="s">
        <v>550</v>
      </c>
      <c r="I510" s="22" t="s">
        <v>2850</v>
      </c>
    </row>
    <row r="511" spans="8:9">
      <c r="H511" s="20" t="s">
        <v>551</v>
      </c>
      <c r="I511" s="22" t="s">
        <v>2850</v>
      </c>
    </row>
    <row r="512" spans="8:9">
      <c r="H512" s="20" t="s">
        <v>552</v>
      </c>
      <c r="I512" s="23" t="s">
        <v>2849</v>
      </c>
    </row>
    <row r="513" spans="8:9">
      <c r="H513" s="20" t="s">
        <v>553</v>
      </c>
      <c r="I513" s="23" t="s">
        <v>2850</v>
      </c>
    </row>
    <row r="514" spans="8:9">
      <c r="H514" s="20" t="s">
        <v>554</v>
      </c>
      <c r="I514" s="22" t="s">
        <v>2849</v>
      </c>
    </row>
    <row r="515" spans="8:9">
      <c r="H515" s="20" t="s">
        <v>555</v>
      </c>
      <c r="I515" s="22" t="s">
        <v>2849</v>
      </c>
    </row>
    <row r="516" spans="8:9">
      <c r="H516" s="20" t="s">
        <v>556</v>
      </c>
      <c r="I516" s="22" t="s">
        <v>2848</v>
      </c>
    </row>
    <row r="517" spans="8:9">
      <c r="H517" s="20" t="s">
        <v>557</v>
      </c>
      <c r="I517" s="23" t="s">
        <v>2849</v>
      </c>
    </row>
    <row r="518" spans="8:9">
      <c r="H518" s="20" t="s">
        <v>558</v>
      </c>
      <c r="I518" s="22" t="s">
        <v>2848</v>
      </c>
    </row>
    <row r="519" spans="8:9">
      <c r="H519" s="20" t="s">
        <v>559</v>
      </c>
      <c r="I519" s="22" t="s">
        <v>2848</v>
      </c>
    </row>
    <row r="520" spans="8:9">
      <c r="H520" s="20" t="s">
        <v>560</v>
      </c>
      <c r="I520" s="22" t="s">
        <v>2849</v>
      </c>
    </row>
    <row r="521" spans="8:9">
      <c r="H521" s="20" t="s">
        <v>561</v>
      </c>
      <c r="I521" s="22" t="s">
        <v>2849</v>
      </c>
    </row>
    <row r="522" spans="8:9">
      <c r="H522" s="20" t="s">
        <v>562</v>
      </c>
      <c r="I522" s="22" t="s">
        <v>2849</v>
      </c>
    </row>
    <row r="523" spans="8:9">
      <c r="H523" s="20" t="s">
        <v>563</v>
      </c>
      <c r="I523" s="22" t="s">
        <v>2849</v>
      </c>
    </row>
    <row r="524" spans="8:9">
      <c r="H524" s="20" t="s">
        <v>564</v>
      </c>
      <c r="I524" s="23" t="s">
        <v>2850</v>
      </c>
    </row>
    <row r="525" spans="8:9">
      <c r="H525" s="20" t="s">
        <v>565</v>
      </c>
      <c r="I525" s="22" t="s">
        <v>2849</v>
      </c>
    </row>
    <row r="526" spans="8:9">
      <c r="H526" s="20" t="s">
        <v>566</v>
      </c>
      <c r="I526" s="22" t="s">
        <v>2854</v>
      </c>
    </row>
    <row r="527" spans="8:9">
      <c r="H527" s="20" t="s">
        <v>567</v>
      </c>
      <c r="I527" s="22" t="s">
        <v>2848</v>
      </c>
    </row>
    <row r="528" spans="8:9">
      <c r="H528" s="20" t="s">
        <v>568</v>
      </c>
      <c r="I528" s="22" t="s">
        <v>2848</v>
      </c>
    </row>
    <row r="529" spans="8:9">
      <c r="H529" s="20" t="s">
        <v>569</v>
      </c>
      <c r="I529" s="22" t="s">
        <v>2848</v>
      </c>
    </row>
    <row r="530" spans="8:9">
      <c r="H530" s="20" t="s">
        <v>570</v>
      </c>
      <c r="I530" s="22" t="s">
        <v>2848</v>
      </c>
    </row>
    <row r="531" spans="8:9">
      <c r="H531" s="20" t="s">
        <v>571</v>
      </c>
      <c r="I531" s="22" t="s">
        <v>2848</v>
      </c>
    </row>
    <row r="532" spans="8:9">
      <c r="H532" s="20" t="s">
        <v>572</v>
      </c>
      <c r="I532" s="22" t="s">
        <v>2848</v>
      </c>
    </row>
    <row r="533" spans="8:9">
      <c r="H533" s="20" t="s">
        <v>573</v>
      </c>
      <c r="I533" s="22" t="s">
        <v>2848</v>
      </c>
    </row>
    <row r="534" spans="8:9">
      <c r="H534" s="20" t="s">
        <v>574</v>
      </c>
      <c r="I534" s="22" t="s">
        <v>2848</v>
      </c>
    </row>
    <row r="535" spans="8:9">
      <c r="H535" s="20" t="s">
        <v>575</v>
      </c>
      <c r="I535" s="22" t="s">
        <v>2848</v>
      </c>
    </row>
    <row r="536" spans="8:9">
      <c r="H536" s="20" t="s">
        <v>576</v>
      </c>
      <c r="I536" s="22" t="s">
        <v>2848</v>
      </c>
    </row>
    <row r="537" spans="8:9">
      <c r="H537" s="20" t="s">
        <v>577</v>
      </c>
      <c r="I537" s="22" t="s">
        <v>2848</v>
      </c>
    </row>
    <row r="538" spans="8:9">
      <c r="H538" s="20" t="s">
        <v>578</v>
      </c>
      <c r="I538" s="23" t="s">
        <v>2852</v>
      </c>
    </row>
    <row r="539" spans="8:9">
      <c r="H539" s="20" t="s">
        <v>579</v>
      </c>
      <c r="I539" s="23" t="s">
        <v>2848</v>
      </c>
    </row>
    <row r="540" spans="8:9">
      <c r="H540" s="20" t="s">
        <v>580</v>
      </c>
      <c r="I540" s="22" t="s">
        <v>2849</v>
      </c>
    </row>
    <row r="541" spans="8:9">
      <c r="H541" s="20" t="s">
        <v>581</v>
      </c>
      <c r="I541" s="22" t="s">
        <v>2849</v>
      </c>
    </row>
    <row r="542" spans="8:9">
      <c r="H542" s="20" t="s">
        <v>582</v>
      </c>
      <c r="I542" s="23" t="s">
        <v>2850</v>
      </c>
    </row>
    <row r="543" spans="8:9">
      <c r="H543" s="20" t="s">
        <v>583</v>
      </c>
      <c r="I543" s="22" t="s">
        <v>2852</v>
      </c>
    </row>
    <row r="544" spans="8:9">
      <c r="H544" s="20" t="s">
        <v>584</v>
      </c>
      <c r="I544" s="23" t="s">
        <v>2850</v>
      </c>
    </row>
    <row r="545" spans="8:9">
      <c r="H545" s="20" t="s">
        <v>585</v>
      </c>
      <c r="I545" s="22" t="s">
        <v>2852</v>
      </c>
    </row>
    <row r="546" spans="8:9">
      <c r="H546" s="12" t="s">
        <v>586</v>
      </c>
      <c r="I546" s="22" t="s">
        <v>2849</v>
      </c>
    </row>
    <row r="547" spans="8:9">
      <c r="H547" s="12" t="s">
        <v>587</v>
      </c>
      <c r="I547" s="22" t="s">
        <v>2849</v>
      </c>
    </row>
    <row r="548" spans="8:9">
      <c r="H548" s="20" t="s">
        <v>588</v>
      </c>
      <c r="I548" s="22" t="s">
        <v>2848</v>
      </c>
    </row>
    <row r="549" spans="8:9">
      <c r="H549" s="20" t="s">
        <v>589</v>
      </c>
      <c r="I549" s="22" t="s">
        <v>2849</v>
      </c>
    </row>
    <row r="550" spans="8:9">
      <c r="H550" s="20" t="s">
        <v>590</v>
      </c>
      <c r="I550" s="22" t="s">
        <v>2849</v>
      </c>
    </row>
    <row r="551" spans="8:9">
      <c r="H551" s="20" t="s">
        <v>591</v>
      </c>
      <c r="I551" s="22" t="s">
        <v>2849</v>
      </c>
    </row>
    <row r="552" spans="8:9">
      <c r="H552" s="20" t="s">
        <v>592</v>
      </c>
      <c r="I552" s="22" t="s">
        <v>2849</v>
      </c>
    </row>
    <row r="553" spans="8:9">
      <c r="H553" s="20" t="s">
        <v>593</v>
      </c>
      <c r="I553" s="22" t="s">
        <v>2849</v>
      </c>
    </row>
    <row r="554" spans="8:9">
      <c r="H554" s="20" t="s">
        <v>594</v>
      </c>
      <c r="I554" s="23" t="s">
        <v>2852</v>
      </c>
    </row>
    <row r="555" spans="8:9">
      <c r="H555" s="20" t="s">
        <v>595</v>
      </c>
      <c r="I555" s="22" t="s">
        <v>2852</v>
      </c>
    </row>
    <row r="556" spans="8:9">
      <c r="H556" s="20" t="s">
        <v>596</v>
      </c>
      <c r="I556" s="23" t="s">
        <v>2852</v>
      </c>
    </row>
    <row r="557" spans="8:9">
      <c r="H557" s="20" t="s">
        <v>597</v>
      </c>
      <c r="I557" s="22" t="s">
        <v>2848</v>
      </c>
    </row>
    <row r="558" spans="8:9">
      <c r="H558" s="20" t="s">
        <v>598</v>
      </c>
      <c r="I558" s="22" t="s">
        <v>2850</v>
      </c>
    </row>
    <row r="559" spans="8:9">
      <c r="H559" s="20" t="s">
        <v>599</v>
      </c>
      <c r="I559" s="22" t="s">
        <v>2849</v>
      </c>
    </row>
    <row r="560" spans="8:9">
      <c r="H560" s="20" t="s">
        <v>600</v>
      </c>
      <c r="I560" s="22" t="s">
        <v>2850</v>
      </c>
    </row>
    <row r="561" spans="8:9">
      <c r="H561" s="20" t="s">
        <v>601</v>
      </c>
      <c r="I561" s="22" t="s">
        <v>2849</v>
      </c>
    </row>
    <row r="562" spans="8:9">
      <c r="H562" s="20" t="s">
        <v>602</v>
      </c>
      <c r="I562" s="22" t="s">
        <v>2848</v>
      </c>
    </row>
    <row r="563" spans="8:9">
      <c r="H563" s="20" t="s">
        <v>603</v>
      </c>
      <c r="I563" s="22" t="s">
        <v>2849</v>
      </c>
    </row>
    <row r="564" spans="8:9">
      <c r="H564" s="20" t="s">
        <v>604</v>
      </c>
      <c r="I564" s="22" t="s">
        <v>2849</v>
      </c>
    </row>
    <row r="565" spans="8:9">
      <c r="H565" s="20" t="s">
        <v>605</v>
      </c>
      <c r="I565" s="22" t="s">
        <v>2849</v>
      </c>
    </row>
    <row r="566" spans="8:9">
      <c r="H566" s="20" t="s">
        <v>606</v>
      </c>
      <c r="I566" s="22" t="s">
        <v>2849</v>
      </c>
    </row>
    <row r="567" spans="8:9">
      <c r="H567" s="20" t="s">
        <v>607</v>
      </c>
      <c r="I567" s="22" t="s">
        <v>2849</v>
      </c>
    </row>
    <row r="568" spans="8:9">
      <c r="H568" s="20" t="s">
        <v>608</v>
      </c>
      <c r="I568" s="22" t="s">
        <v>2849</v>
      </c>
    </row>
    <row r="569" spans="8:9">
      <c r="H569" s="20" t="s">
        <v>609</v>
      </c>
      <c r="I569" s="22" t="s">
        <v>2849</v>
      </c>
    </row>
    <row r="570" spans="8:9">
      <c r="H570" s="20" t="s">
        <v>610</v>
      </c>
      <c r="I570" s="22" t="s">
        <v>2849</v>
      </c>
    </row>
    <row r="571" spans="8:9">
      <c r="H571" s="20" t="s">
        <v>611</v>
      </c>
      <c r="I571" s="22" t="s">
        <v>2849</v>
      </c>
    </row>
    <row r="572" spans="8:9">
      <c r="H572" s="20" t="s">
        <v>612</v>
      </c>
      <c r="I572" s="23" t="s">
        <v>2850</v>
      </c>
    </row>
    <row r="573" spans="8:9">
      <c r="H573" s="20" t="s">
        <v>613</v>
      </c>
      <c r="I573" s="23" t="s">
        <v>2850</v>
      </c>
    </row>
    <row r="574" spans="8:9">
      <c r="H574" s="20" t="s">
        <v>614</v>
      </c>
      <c r="I574" s="22" t="s">
        <v>2852</v>
      </c>
    </row>
    <row r="575" spans="8:9">
      <c r="H575" s="20" t="s">
        <v>615</v>
      </c>
      <c r="I575" s="22" t="s">
        <v>2849</v>
      </c>
    </row>
    <row r="576" spans="8:9">
      <c r="H576" s="20" t="s">
        <v>616</v>
      </c>
      <c r="I576" s="22" t="s">
        <v>2848</v>
      </c>
    </row>
    <row r="577" spans="8:9">
      <c r="H577" s="20" t="s">
        <v>617</v>
      </c>
      <c r="I577" s="22" t="s">
        <v>2848</v>
      </c>
    </row>
    <row r="578" spans="8:9">
      <c r="H578" s="20" t="s">
        <v>618</v>
      </c>
      <c r="I578" s="22" t="s">
        <v>2849</v>
      </c>
    </row>
    <row r="579" spans="8:9">
      <c r="H579" s="20" t="s">
        <v>619</v>
      </c>
      <c r="I579" s="22" t="s">
        <v>2848</v>
      </c>
    </row>
    <row r="580" spans="8:9">
      <c r="H580" s="20" t="s">
        <v>620</v>
      </c>
      <c r="I580" s="22" t="s">
        <v>2849</v>
      </c>
    </row>
    <row r="581" spans="8:9">
      <c r="H581" s="20" t="s">
        <v>621</v>
      </c>
      <c r="I581" s="22" t="s">
        <v>2848</v>
      </c>
    </row>
    <row r="582" spans="8:9">
      <c r="H582" s="20" t="s">
        <v>622</v>
      </c>
      <c r="I582" s="22" t="s">
        <v>2848</v>
      </c>
    </row>
    <row r="583" spans="8:9">
      <c r="H583" s="20" t="s">
        <v>623</v>
      </c>
      <c r="I583" s="22" t="s">
        <v>2848</v>
      </c>
    </row>
    <row r="584" spans="8:9">
      <c r="H584" s="20" t="s">
        <v>624</v>
      </c>
      <c r="I584" s="22" t="s">
        <v>2849</v>
      </c>
    </row>
    <row r="585" spans="8:9">
      <c r="H585" s="20" t="s">
        <v>625</v>
      </c>
      <c r="I585" s="22" t="s">
        <v>2849</v>
      </c>
    </row>
    <row r="586" spans="8:9">
      <c r="H586" s="20" t="s">
        <v>626</v>
      </c>
      <c r="I586" s="22" t="s">
        <v>2850</v>
      </c>
    </row>
    <row r="587" spans="8:9">
      <c r="H587" s="20" t="s">
        <v>627</v>
      </c>
      <c r="I587" s="22" t="s">
        <v>2850</v>
      </c>
    </row>
    <row r="588" spans="8:9">
      <c r="H588" s="20" t="s">
        <v>628</v>
      </c>
      <c r="I588" s="22" t="s">
        <v>2850</v>
      </c>
    </row>
    <row r="589" spans="8:9">
      <c r="H589" s="20" t="s">
        <v>629</v>
      </c>
      <c r="I589" s="22" t="s">
        <v>2850</v>
      </c>
    </row>
    <row r="590" spans="8:9">
      <c r="H590" s="20" t="s">
        <v>630</v>
      </c>
      <c r="I590" s="22" t="s">
        <v>2849</v>
      </c>
    </row>
    <row r="591" spans="8:9">
      <c r="H591" s="20" t="s">
        <v>631</v>
      </c>
      <c r="I591" s="22" t="s">
        <v>2852</v>
      </c>
    </row>
    <row r="592" spans="8:9">
      <c r="H592" s="20" t="s">
        <v>632</v>
      </c>
      <c r="I592" s="22" t="s">
        <v>2850</v>
      </c>
    </row>
    <row r="593" spans="8:9">
      <c r="H593" s="20" t="s">
        <v>633</v>
      </c>
      <c r="I593" s="22" t="s">
        <v>2852</v>
      </c>
    </row>
    <row r="594" spans="8:9">
      <c r="H594" s="20" t="s">
        <v>634</v>
      </c>
      <c r="I594" s="22" t="s">
        <v>2849</v>
      </c>
    </row>
    <row r="595" spans="8:9">
      <c r="H595" s="20" t="s">
        <v>635</v>
      </c>
      <c r="I595" s="22" t="s">
        <v>2848</v>
      </c>
    </row>
    <row r="596" spans="8:9">
      <c r="H596" s="20" t="s">
        <v>636</v>
      </c>
      <c r="I596" s="23" t="s">
        <v>2852</v>
      </c>
    </row>
    <row r="597" spans="8:9">
      <c r="H597" s="20" t="s">
        <v>637</v>
      </c>
      <c r="I597" s="23" t="s">
        <v>2849</v>
      </c>
    </row>
    <row r="598" spans="8:9">
      <c r="H598" s="20" t="s">
        <v>638</v>
      </c>
      <c r="I598" s="22" t="s">
        <v>2849</v>
      </c>
    </row>
    <row r="599" spans="8:9">
      <c r="H599" s="20" t="s">
        <v>639</v>
      </c>
      <c r="I599" s="22" t="s">
        <v>2850</v>
      </c>
    </row>
    <row r="600" spans="8:9">
      <c r="H600" s="20" t="s">
        <v>640</v>
      </c>
      <c r="I600" s="22" t="s">
        <v>2850</v>
      </c>
    </row>
    <row r="601" spans="8:9">
      <c r="H601" s="20" t="s">
        <v>641</v>
      </c>
      <c r="I601" s="22" t="s">
        <v>2850</v>
      </c>
    </row>
    <row r="602" spans="8:9">
      <c r="H602" s="20" t="s">
        <v>642</v>
      </c>
      <c r="I602" s="22" t="s">
        <v>2850</v>
      </c>
    </row>
    <row r="603" spans="8:9">
      <c r="H603" s="20" t="s">
        <v>643</v>
      </c>
      <c r="I603" s="23" t="s">
        <v>2848</v>
      </c>
    </row>
    <row r="604" spans="8:9">
      <c r="H604" s="20" t="s">
        <v>644</v>
      </c>
      <c r="I604" s="22" t="s">
        <v>2850</v>
      </c>
    </row>
    <row r="605" spans="8:9">
      <c r="H605" s="20" t="s">
        <v>645</v>
      </c>
      <c r="I605" s="23" t="s">
        <v>2850</v>
      </c>
    </row>
    <row r="606" spans="8:9">
      <c r="H606" s="20" t="s">
        <v>646</v>
      </c>
      <c r="I606" s="22" t="s">
        <v>2850</v>
      </c>
    </row>
    <row r="607" spans="8:9">
      <c r="H607" s="20" t="s">
        <v>647</v>
      </c>
      <c r="I607" s="22" t="s">
        <v>2849</v>
      </c>
    </row>
    <row r="608" spans="8:9">
      <c r="H608" s="20" t="s">
        <v>648</v>
      </c>
      <c r="I608" s="23" t="s">
        <v>2850</v>
      </c>
    </row>
    <row r="609" spans="8:9">
      <c r="H609" s="20" t="s">
        <v>649</v>
      </c>
      <c r="I609" s="21" t="s">
        <v>2849</v>
      </c>
    </row>
    <row r="610" spans="8:9">
      <c r="H610" s="20" t="s">
        <v>650</v>
      </c>
      <c r="I610" s="22" t="s">
        <v>2848</v>
      </c>
    </row>
    <row r="611" spans="8:9">
      <c r="H611" s="20" t="s">
        <v>651</v>
      </c>
      <c r="I611" s="22" t="s">
        <v>2848</v>
      </c>
    </row>
    <row r="612" spans="8:9">
      <c r="H612" s="20" t="s">
        <v>652</v>
      </c>
      <c r="I612" s="22" t="s">
        <v>2848</v>
      </c>
    </row>
    <row r="613" spans="8:9">
      <c r="H613" s="20" t="s">
        <v>653</v>
      </c>
      <c r="I613" s="22" t="s">
        <v>2848</v>
      </c>
    </row>
    <row r="614" spans="8:9">
      <c r="H614" s="20" t="s">
        <v>654</v>
      </c>
      <c r="I614" s="22" t="s">
        <v>2849</v>
      </c>
    </row>
    <row r="615" spans="8:9">
      <c r="H615" s="20" t="s">
        <v>655</v>
      </c>
      <c r="I615" s="23" t="s">
        <v>2848</v>
      </c>
    </row>
    <row r="616" spans="8:9">
      <c r="H616" s="20" t="s">
        <v>656</v>
      </c>
      <c r="I616" s="22" t="s">
        <v>2848</v>
      </c>
    </row>
    <row r="617" spans="8:9">
      <c r="H617" s="20" t="s">
        <v>657</v>
      </c>
      <c r="I617" s="22" t="s">
        <v>2849</v>
      </c>
    </row>
    <row r="618" spans="8:9">
      <c r="H618" s="20" t="s">
        <v>658</v>
      </c>
      <c r="I618" s="22" t="s">
        <v>2849</v>
      </c>
    </row>
    <row r="619" spans="8:9">
      <c r="H619" s="20" t="s">
        <v>659</v>
      </c>
      <c r="I619" s="22" t="s">
        <v>2849</v>
      </c>
    </row>
    <row r="620" spans="8:9">
      <c r="H620" s="20" t="s">
        <v>660</v>
      </c>
      <c r="I620" s="23" t="s">
        <v>2850</v>
      </c>
    </row>
    <row r="621" spans="8:9">
      <c r="H621" s="20" t="s">
        <v>661</v>
      </c>
      <c r="I621" s="23" t="s">
        <v>2850</v>
      </c>
    </row>
    <row r="622" spans="8:9">
      <c r="H622" s="20" t="s">
        <v>662</v>
      </c>
      <c r="I622" s="23" t="s">
        <v>2850</v>
      </c>
    </row>
    <row r="623" spans="8:9">
      <c r="H623" s="20" t="s">
        <v>663</v>
      </c>
      <c r="I623" s="22" t="s">
        <v>2848</v>
      </c>
    </row>
    <row r="624" spans="8:9">
      <c r="H624" s="20" t="s">
        <v>664</v>
      </c>
      <c r="I624" s="23" t="s">
        <v>2850</v>
      </c>
    </row>
    <row r="625" spans="8:9">
      <c r="H625" s="20" t="s">
        <v>665</v>
      </c>
      <c r="I625" s="22" t="s">
        <v>2848</v>
      </c>
    </row>
    <row r="626" spans="8:9">
      <c r="H626" s="20" t="s">
        <v>666</v>
      </c>
      <c r="I626" s="23" t="s">
        <v>2850</v>
      </c>
    </row>
    <row r="627" spans="8:9">
      <c r="H627" s="20" t="s">
        <v>667</v>
      </c>
      <c r="I627" s="23" t="s">
        <v>2850</v>
      </c>
    </row>
    <row r="628" spans="8:9">
      <c r="H628" s="20" t="s">
        <v>668</v>
      </c>
      <c r="I628" s="22" t="s">
        <v>2848</v>
      </c>
    </row>
    <row r="629" spans="8:9">
      <c r="H629" s="20" t="s">
        <v>669</v>
      </c>
      <c r="I629" s="23" t="s">
        <v>2852</v>
      </c>
    </row>
    <row r="630" spans="8:9">
      <c r="H630" s="20" t="s">
        <v>670</v>
      </c>
      <c r="I630" s="22" t="s">
        <v>2849</v>
      </c>
    </row>
    <row r="631" spans="8:9">
      <c r="H631" s="20" t="s">
        <v>671</v>
      </c>
      <c r="I631" s="22" t="s">
        <v>2849</v>
      </c>
    </row>
    <row r="632" spans="8:9">
      <c r="H632" s="20" t="s">
        <v>672</v>
      </c>
      <c r="I632" s="23" t="s">
        <v>2849</v>
      </c>
    </row>
    <row r="633" spans="8:9">
      <c r="H633" s="20" t="s">
        <v>673</v>
      </c>
      <c r="I633" s="22" t="s">
        <v>2849</v>
      </c>
    </row>
    <row r="634" spans="8:9">
      <c r="H634" s="20" t="s">
        <v>674</v>
      </c>
      <c r="I634" s="23" t="s">
        <v>2852</v>
      </c>
    </row>
    <row r="635" spans="8:9">
      <c r="H635" s="20" t="s">
        <v>675</v>
      </c>
      <c r="I635" s="22" t="s">
        <v>2850</v>
      </c>
    </row>
    <row r="636" spans="8:9">
      <c r="H636" s="20" t="s">
        <v>676</v>
      </c>
      <c r="I636" s="22" t="s">
        <v>2848</v>
      </c>
    </row>
    <row r="637" spans="8:9">
      <c r="H637" s="20" t="s">
        <v>677</v>
      </c>
      <c r="I637" s="23" t="s">
        <v>2850</v>
      </c>
    </row>
    <row r="638" spans="8:9">
      <c r="H638" s="20" t="s">
        <v>678</v>
      </c>
      <c r="I638" s="22" t="s">
        <v>2849</v>
      </c>
    </row>
    <row r="639" spans="8:9">
      <c r="H639" s="20" t="s">
        <v>679</v>
      </c>
      <c r="I639" s="22" t="s">
        <v>2848</v>
      </c>
    </row>
    <row r="640" spans="8:9">
      <c r="H640" s="20" t="s">
        <v>680</v>
      </c>
      <c r="I640" s="22" t="s">
        <v>2849</v>
      </c>
    </row>
    <row r="641" spans="8:9">
      <c r="H641" s="20" t="s">
        <v>681</v>
      </c>
      <c r="I641" s="22" t="s">
        <v>2849</v>
      </c>
    </row>
    <row r="642" spans="8:9">
      <c r="H642" s="20" t="s">
        <v>682</v>
      </c>
      <c r="I642" s="22" t="s">
        <v>2849</v>
      </c>
    </row>
    <row r="643" spans="8:9">
      <c r="H643" s="20" t="s">
        <v>683</v>
      </c>
      <c r="I643" s="22" t="s">
        <v>2849</v>
      </c>
    </row>
    <row r="644" spans="8:9">
      <c r="H644" s="20" t="s">
        <v>684</v>
      </c>
      <c r="I644" s="23" t="s">
        <v>2852</v>
      </c>
    </row>
    <row r="645" spans="8:9">
      <c r="H645" s="20" t="s">
        <v>685</v>
      </c>
      <c r="I645" s="22" t="s">
        <v>2849</v>
      </c>
    </row>
    <row r="646" spans="8:9">
      <c r="H646" s="20" t="s">
        <v>686</v>
      </c>
      <c r="I646" s="23" t="s">
        <v>2850</v>
      </c>
    </row>
    <row r="647" spans="8:9">
      <c r="H647" s="20" t="s">
        <v>687</v>
      </c>
      <c r="I647" s="22" t="s">
        <v>2848</v>
      </c>
    </row>
    <row r="648" spans="8:9">
      <c r="H648" s="20" t="s">
        <v>688</v>
      </c>
      <c r="I648" s="22" t="s">
        <v>2852</v>
      </c>
    </row>
    <row r="649" spans="8:9">
      <c r="H649" s="20" t="s">
        <v>689</v>
      </c>
      <c r="I649" s="22" t="s">
        <v>2848</v>
      </c>
    </row>
    <row r="650" spans="8:9">
      <c r="H650" s="20" t="s">
        <v>690</v>
      </c>
      <c r="I650" s="23" t="s">
        <v>2850</v>
      </c>
    </row>
    <row r="651" spans="8:9">
      <c r="H651" s="20" t="s">
        <v>691</v>
      </c>
      <c r="I651" s="23" t="s">
        <v>2852</v>
      </c>
    </row>
    <row r="652" spans="8:9">
      <c r="H652" s="20" t="s">
        <v>692</v>
      </c>
      <c r="I652" s="22" t="s">
        <v>2849</v>
      </c>
    </row>
    <row r="653" spans="8:9">
      <c r="H653" s="20" t="s">
        <v>693</v>
      </c>
      <c r="I653" s="22" t="s">
        <v>2849</v>
      </c>
    </row>
    <row r="654" spans="8:9">
      <c r="H654" s="20" t="s">
        <v>694</v>
      </c>
      <c r="I654" s="22" t="s">
        <v>2848</v>
      </c>
    </row>
    <row r="655" spans="8:9">
      <c r="H655" s="20" t="s">
        <v>695</v>
      </c>
      <c r="I655" s="22" t="s">
        <v>2848</v>
      </c>
    </row>
    <row r="656" spans="8:9">
      <c r="H656" s="20" t="s">
        <v>696</v>
      </c>
      <c r="I656" s="22" t="s">
        <v>2848</v>
      </c>
    </row>
    <row r="657" spans="8:9">
      <c r="H657" s="20" t="s">
        <v>697</v>
      </c>
      <c r="I657" s="22" t="s">
        <v>2848</v>
      </c>
    </row>
    <row r="658" spans="8:9">
      <c r="H658" s="20" t="s">
        <v>698</v>
      </c>
      <c r="I658" s="22" t="s">
        <v>2848</v>
      </c>
    </row>
    <row r="659" spans="8:9">
      <c r="H659" s="20" t="s">
        <v>699</v>
      </c>
      <c r="I659" s="22" t="s">
        <v>2848</v>
      </c>
    </row>
    <row r="660" spans="8:9">
      <c r="H660" s="20" t="s">
        <v>700</v>
      </c>
      <c r="I660" s="22" t="s">
        <v>2849</v>
      </c>
    </row>
    <row r="661" spans="8:9">
      <c r="H661" s="20" t="s">
        <v>701</v>
      </c>
      <c r="I661" s="22" t="s">
        <v>2848</v>
      </c>
    </row>
    <row r="662" spans="8:9">
      <c r="H662" s="20" t="s">
        <v>702</v>
      </c>
      <c r="I662" s="22" t="s">
        <v>2849</v>
      </c>
    </row>
    <row r="663" spans="8:9">
      <c r="H663" s="20" t="s">
        <v>703</v>
      </c>
      <c r="I663" s="22" t="s">
        <v>2849</v>
      </c>
    </row>
    <row r="664" spans="8:9">
      <c r="H664" s="20" t="s">
        <v>704</v>
      </c>
      <c r="I664" s="22" t="s">
        <v>2849</v>
      </c>
    </row>
    <row r="665" spans="8:9">
      <c r="H665" s="20" t="s">
        <v>705</v>
      </c>
      <c r="I665" s="23" t="s">
        <v>2848</v>
      </c>
    </row>
    <row r="666" spans="8:9">
      <c r="H666" s="20" t="s">
        <v>706</v>
      </c>
      <c r="I666" s="22" t="s">
        <v>2848</v>
      </c>
    </row>
    <row r="667" spans="8:9">
      <c r="H667" s="20" t="s">
        <v>707</v>
      </c>
      <c r="I667" s="22" t="s">
        <v>2848</v>
      </c>
    </row>
    <row r="668" spans="8:9">
      <c r="H668" s="20" t="s">
        <v>708</v>
      </c>
      <c r="I668" s="22" t="s">
        <v>2849</v>
      </c>
    </row>
    <row r="669" spans="8:9">
      <c r="H669" s="20" t="s">
        <v>709</v>
      </c>
      <c r="I669" s="22" t="s">
        <v>2848</v>
      </c>
    </row>
    <row r="670" spans="8:9">
      <c r="H670" s="20" t="s">
        <v>710</v>
      </c>
      <c r="I670" s="22" t="s">
        <v>2849</v>
      </c>
    </row>
    <row r="671" spans="8:9">
      <c r="H671" s="20" t="s">
        <v>711</v>
      </c>
      <c r="I671" s="22" t="s">
        <v>2848</v>
      </c>
    </row>
    <row r="672" spans="8:9">
      <c r="H672" s="20" t="s">
        <v>712</v>
      </c>
      <c r="I672" s="22" t="s">
        <v>2848</v>
      </c>
    </row>
    <row r="673" spans="8:9">
      <c r="H673" s="20" t="s">
        <v>713</v>
      </c>
      <c r="I673" s="23" t="s">
        <v>2850</v>
      </c>
    </row>
    <row r="674" spans="8:9">
      <c r="H674" s="20" t="s">
        <v>714</v>
      </c>
      <c r="I674" s="22" t="s">
        <v>2848</v>
      </c>
    </row>
    <row r="675" spans="8:9">
      <c r="H675" s="20" t="s">
        <v>715</v>
      </c>
      <c r="I675" s="22" t="s">
        <v>2848</v>
      </c>
    </row>
    <row r="676" spans="8:9">
      <c r="H676" s="20" t="s">
        <v>716</v>
      </c>
      <c r="I676" s="22" t="s">
        <v>2848</v>
      </c>
    </row>
    <row r="677" spans="8:9">
      <c r="H677" s="20" t="s">
        <v>717</v>
      </c>
      <c r="I677" s="22" t="s">
        <v>2852</v>
      </c>
    </row>
    <row r="678" spans="8:9">
      <c r="H678" s="20" t="s">
        <v>718</v>
      </c>
      <c r="I678" s="22" t="s">
        <v>2848</v>
      </c>
    </row>
    <row r="679" spans="8:9">
      <c r="H679" s="20" t="s">
        <v>719</v>
      </c>
      <c r="I679" s="23" t="s">
        <v>2850</v>
      </c>
    </row>
    <row r="680" spans="8:9">
      <c r="H680" s="20" t="s">
        <v>720</v>
      </c>
      <c r="I680" s="22" t="s">
        <v>2850</v>
      </c>
    </row>
    <row r="681" spans="8:9">
      <c r="H681" s="20" t="s">
        <v>721</v>
      </c>
      <c r="I681" s="22" t="s">
        <v>2850</v>
      </c>
    </row>
    <row r="682" spans="8:9">
      <c r="H682" s="20" t="s">
        <v>722</v>
      </c>
      <c r="I682" s="23" t="s">
        <v>2850</v>
      </c>
    </row>
    <row r="683" spans="8:9">
      <c r="H683" s="20" t="s">
        <v>723</v>
      </c>
      <c r="I683" s="22" t="s">
        <v>2849</v>
      </c>
    </row>
    <row r="684" spans="8:9">
      <c r="H684" s="20" t="s">
        <v>724</v>
      </c>
      <c r="I684" s="22" t="s">
        <v>2849</v>
      </c>
    </row>
    <row r="685" spans="8:9">
      <c r="H685" s="20" t="s">
        <v>725</v>
      </c>
      <c r="I685" s="22" t="s">
        <v>2849</v>
      </c>
    </row>
    <row r="686" spans="8:9">
      <c r="H686" s="20" t="s">
        <v>726</v>
      </c>
      <c r="I686" s="23" t="s">
        <v>2849</v>
      </c>
    </row>
    <row r="687" spans="8:9">
      <c r="H687" s="20" t="s">
        <v>727</v>
      </c>
      <c r="I687" s="23" t="s">
        <v>2850</v>
      </c>
    </row>
    <row r="688" spans="8:9">
      <c r="H688" s="20" t="s">
        <v>728</v>
      </c>
      <c r="I688" s="23" t="s">
        <v>2849</v>
      </c>
    </row>
    <row r="689" spans="8:9">
      <c r="H689" s="20" t="s">
        <v>729</v>
      </c>
      <c r="I689" s="22" t="s">
        <v>2849</v>
      </c>
    </row>
    <row r="690" spans="8:9">
      <c r="H690" s="20" t="s">
        <v>730</v>
      </c>
      <c r="I690" s="22" t="s">
        <v>2848</v>
      </c>
    </row>
    <row r="691" spans="8:9">
      <c r="H691" s="20" t="s">
        <v>731</v>
      </c>
      <c r="I691" s="22" t="s">
        <v>2848</v>
      </c>
    </row>
    <row r="692" spans="8:9">
      <c r="H692" s="20" t="s">
        <v>732</v>
      </c>
      <c r="I692" s="22" t="s">
        <v>2848</v>
      </c>
    </row>
    <row r="693" spans="8:9">
      <c r="H693" s="20" t="s">
        <v>733</v>
      </c>
      <c r="I693" s="22" t="s">
        <v>2848</v>
      </c>
    </row>
    <row r="694" spans="8:9">
      <c r="H694" s="20" t="s">
        <v>734</v>
      </c>
      <c r="I694" s="22" t="s">
        <v>2848</v>
      </c>
    </row>
    <row r="695" spans="8:9">
      <c r="H695" s="20" t="s">
        <v>735</v>
      </c>
      <c r="I695" s="22" t="s">
        <v>2848</v>
      </c>
    </row>
    <row r="696" spans="8:9">
      <c r="H696" s="20" t="s">
        <v>736</v>
      </c>
      <c r="I696" s="22" t="s">
        <v>2848</v>
      </c>
    </row>
    <row r="697" spans="8:9">
      <c r="H697" s="20" t="s">
        <v>737</v>
      </c>
      <c r="I697" s="22" t="s">
        <v>2848</v>
      </c>
    </row>
    <row r="698" spans="8:9">
      <c r="H698" s="20" t="s">
        <v>738</v>
      </c>
      <c r="I698" s="22" t="s">
        <v>2850</v>
      </c>
    </row>
    <row r="699" spans="8:9">
      <c r="H699" s="20" t="s">
        <v>739</v>
      </c>
      <c r="I699" s="22" t="s">
        <v>2849</v>
      </c>
    </row>
    <row r="700" spans="8:9">
      <c r="H700" s="20" t="s">
        <v>740</v>
      </c>
      <c r="I700" s="22" t="s">
        <v>2850</v>
      </c>
    </row>
    <row r="701" spans="8:9">
      <c r="H701" s="20" t="s">
        <v>741</v>
      </c>
      <c r="I701" s="22" t="s">
        <v>2850</v>
      </c>
    </row>
    <row r="702" spans="8:9">
      <c r="H702" s="20" t="s">
        <v>742</v>
      </c>
      <c r="I702" s="22" t="s">
        <v>2849</v>
      </c>
    </row>
    <row r="703" spans="8:9">
      <c r="H703" s="20" t="s">
        <v>743</v>
      </c>
      <c r="I703" s="22" t="s">
        <v>2849</v>
      </c>
    </row>
    <row r="704" spans="8:9">
      <c r="H704" s="20" t="s">
        <v>744</v>
      </c>
      <c r="I704" s="22" t="s">
        <v>2849</v>
      </c>
    </row>
    <row r="705" spans="8:9">
      <c r="H705" s="20" t="s">
        <v>745</v>
      </c>
      <c r="I705" s="22" t="s">
        <v>2848</v>
      </c>
    </row>
    <row r="706" spans="8:9">
      <c r="H706" s="20" t="s">
        <v>746</v>
      </c>
      <c r="I706" s="22" t="s">
        <v>2849</v>
      </c>
    </row>
    <row r="707" spans="8:9">
      <c r="H707" s="20" t="s">
        <v>747</v>
      </c>
      <c r="I707" s="22" t="s">
        <v>2849</v>
      </c>
    </row>
    <row r="708" spans="8:9">
      <c r="H708" s="20" t="s">
        <v>748</v>
      </c>
      <c r="I708" s="22" t="s">
        <v>2850</v>
      </c>
    </row>
    <row r="709" spans="8:9">
      <c r="H709" s="20" t="s">
        <v>749</v>
      </c>
      <c r="I709" s="22" t="s">
        <v>2850</v>
      </c>
    </row>
    <row r="710" spans="8:9">
      <c r="H710" s="20" t="s">
        <v>750</v>
      </c>
      <c r="I710" s="23" t="s">
        <v>2852</v>
      </c>
    </row>
    <row r="711" spans="8:9">
      <c r="H711" s="20" t="s">
        <v>751</v>
      </c>
      <c r="I711" s="23" t="s">
        <v>2852</v>
      </c>
    </row>
    <row r="712" spans="8:9">
      <c r="H712" s="20" t="s">
        <v>752</v>
      </c>
      <c r="I712" s="22" t="s">
        <v>2852</v>
      </c>
    </row>
    <row r="713" spans="8:9">
      <c r="H713" s="20" t="s">
        <v>753</v>
      </c>
      <c r="I713" s="22" t="s">
        <v>2850</v>
      </c>
    </row>
    <row r="714" spans="8:9">
      <c r="H714" s="20" t="s">
        <v>754</v>
      </c>
      <c r="I714" s="22" t="s">
        <v>2849</v>
      </c>
    </row>
    <row r="715" spans="8:9">
      <c r="H715" s="20" t="s">
        <v>755</v>
      </c>
      <c r="I715" s="23" t="s">
        <v>2849</v>
      </c>
    </row>
    <row r="716" spans="8:9">
      <c r="H716" s="20" t="s">
        <v>756</v>
      </c>
      <c r="I716" s="23" t="s">
        <v>2852</v>
      </c>
    </row>
    <row r="717" spans="8:9">
      <c r="H717" s="20" t="s">
        <v>757</v>
      </c>
      <c r="I717" s="22" t="s">
        <v>2852</v>
      </c>
    </row>
    <row r="718" spans="8:9">
      <c r="H718" s="20" t="s">
        <v>758</v>
      </c>
      <c r="I718" s="23" t="s">
        <v>2852</v>
      </c>
    </row>
    <row r="719" spans="8:9">
      <c r="H719" s="20" t="s">
        <v>759</v>
      </c>
      <c r="I719" s="23" t="s">
        <v>2852</v>
      </c>
    </row>
    <row r="720" spans="8:9">
      <c r="H720" s="20" t="s">
        <v>760</v>
      </c>
      <c r="I720" s="22" t="s">
        <v>2850</v>
      </c>
    </row>
    <row r="721" spans="8:9">
      <c r="H721" s="20" t="s">
        <v>761</v>
      </c>
      <c r="I721" s="23" t="s">
        <v>2852</v>
      </c>
    </row>
    <row r="722" spans="8:9">
      <c r="H722" s="20" t="s">
        <v>762</v>
      </c>
      <c r="I722" s="23" t="s">
        <v>2852</v>
      </c>
    </row>
    <row r="723" spans="8:9">
      <c r="H723" s="20" t="s">
        <v>763</v>
      </c>
      <c r="I723" s="23" t="s">
        <v>2849</v>
      </c>
    </row>
    <row r="724" spans="8:9">
      <c r="H724" s="20" t="s">
        <v>764</v>
      </c>
      <c r="I724" s="23" t="s">
        <v>2848</v>
      </c>
    </row>
    <row r="725" spans="8:9">
      <c r="H725" s="20" t="s">
        <v>765</v>
      </c>
      <c r="I725" s="22" t="s">
        <v>2850</v>
      </c>
    </row>
    <row r="726" spans="8:9">
      <c r="H726" s="20" t="s">
        <v>766</v>
      </c>
      <c r="I726" s="22" t="s">
        <v>2850</v>
      </c>
    </row>
    <row r="727" spans="8:9">
      <c r="H727" s="20" t="s">
        <v>767</v>
      </c>
      <c r="I727" s="23" t="s">
        <v>2849</v>
      </c>
    </row>
    <row r="728" spans="8:9">
      <c r="H728" s="20" t="s">
        <v>768</v>
      </c>
      <c r="I728" s="23" t="s">
        <v>2849</v>
      </c>
    </row>
    <row r="729" spans="8:9">
      <c r="H729" s="20" t="s">
        <v>769</v>
      </c>
      <c r="I729" s="23" t="s">
        <v>2852</v>
      </c>
    </row>
    <row r="730" spans="8:9">
      <c r="H730" s="20" t="s">
        <v>770</v>
      </c>
      <c r="I730" s="23" t="s">
        <v>2849</v>
      </c>
    </row>
    <row r="731" spans="8:9">
      <c r="H731" s="20" t="s">
        <v>771</v>
      </c>
      <c r="I731" s="22" t="s">
        <v>2849</v>
      </c>
    </row>
    <row r="732" spans="8:9">
      <c r="H732" s="20" t="s">
        <v>772</v>
      </c>
      <c r="I732" s="22" t="s">
        <v>2852</v>
      </c>
    </row>
    <row r="733" spans="8:9">
      <c r="H733" s="20" t="s">
        <v>773</v>
      </c>
      <c r="I733" s="22" t="s">
        <v>2850</v>
      </c>
    </row>
    <row r="734" spans="8:9">
      <c r="H734" s="20" t="s">
        <v>774</v>
      </c>
      <c r="I734" s="23" t="s">
        <v>2852</v>
      </c>
    </row>
    <row r="735" spans="8:9">
      <c r="H735" s="20" t="s">
        <v>775</v>
      </c>
      <c r="I735" s="22" t="s">
        <v>2850</v>
      </c>
    </row>
    <row r="736" spans="8:9">
      <c r="H736" s="20" t="s">
        <v>776</v>
      </c>
      <c r="I736" s="22" t="s">
        <v>2850</v>
      </c>
    </row>
    <row r="737" spans="8:9">
      <c r="H737" s="20" t="s">
        <v>777</v>
      </c>
      <c r="I737" s="23" t="s">
        <v>2849</v>
      </c>
    </row>
    <row r="738" spans="8:9">
      <c r="H738" s="20" t="s">
        <v>778</v>
      </c>
      <c r="I738" s="23" t="s">
        <v>2850</v>
      </c>
    </row>
    <row r="739" spans="8:9">
      <c r="H739" s="20" t="s">
        <v>779</v>
      </c>
      <c r="I739" s="22" t="s">
        <v>2849</v>
      </c>
    </row>
    <row r="740" spans="8:9">
      <c r="H740" s="20" t="s">
        <v>780</v>
      </c>
      <c r="I740" s="23" t="s">
        <v>2848</v>
      </c>
    </row>
    <row r="741" spans="8:9">
      <c r="H741" s="20" t="s">
        <v>781</v>
      </c>
      <c r="I741" s="23" t="s">
        <v>2852</v>
      </c>
    </row>
    <row r="742" spans="8:9">
      <c r="H742" s="20" t="s">
        <v>782</v>
      </c>
      <c r="I742" s="22" t="s">
        <v>2850</v>
      </c>
    </row>
    <row r="743" spans="8:9">
      <c r="H743" s="20" t="s">
        <v>783</v>
      </c>
      <c r="I743" s="22" t="s">
        <v>2850</v>
      </c>
    </row>
    <row r="744" spans="8:9">
      <c r="H744" s="20" t="s">
        <v>784</v>
      </c>
      <c r="I744" s="22" t="s">
        <v>2848</v>
      </c>
    </row>
    <row r="745" spans="8:9">
      <c r="H745" s="20" t="s">
        <v>785</v>
      </c>
      <c r="I745" s="22" t="s">
        <v>2850</v>
      </c>
    </row>
    <row r="746" spans="8:9">
      <c r="H746" s="20" t="s">
        <v>786</v>
      </c>
      <c r="I746" s="22" t="s">
        <v>2850</v>
      </c>
    </row>
    <row r="747" spans="8:9">
      <c r="H747" s="20" t="s">
        <v>787</v>
      </c>
      <c r="I747" s="22" t="s">
        <v>2850</v>
      </c>
    </row>
    <row r="748" spans="8:9">
      <c r="H748" s="20" t="s">
        <v>788</v>
      </c>
      <c r="I748" s="23" t="s">
        <v>2848</v>
      </c>
    </row>
    <row r="749" spans="8:9">
      <c r="H749" s="20" t="s">
        <v>789</v>
      </c>
      <c r="I749" s="23" t="s">
        <v>2848</v>
      </c>
    </row>
    <row r="750" spans="8:9">
      <c r="H750" s="20" t="s">
        <v>790</v>
      </c>
      <c r="I750" s="23" t="s">
        <v>2848</v>
      </c>
    </row>
    <row r="751" spans="8:9">
      <c r="H751" s="20" t="s">
        <v>791</v>
      </c>
      <c r="I751" s="23" t="s">
        <v>2849</v>
      </c>
    </row>
    <row r="752" spans="8:9">
      <c r="H752" s="20" t="s">
        <v>792</v>
      </c>
      <c r="I752" s="22" t="s">
        <v>2849</v>
      </c>
    </row>
    <row r="753" spans="8:9">
      <c r="H753" s="20" t="s">
        <v>793</v>
      </c>
      <c r="I753" s="23" t="s">
        <v>2849</v>
      </c>
    </row>
    <row r="754" spans="8:9">
      <c r="H754" s="20" t="s">
        <v>794</v>
      </c>
      <c r="I754" s="22" t="s">
        <v>2849</v>
      </c>
    </row>
    <row r="755" spans="8:9">
      <c r="H755" s="20" t="s">
        <v>795</v>
      </c>
      <c r="I755" s="23" t="s">
        <v>2850</v>
      </c>
    </row>
    <row r="756" spans="8:9">
      <c r="H756" s="20" t="s">
        <v>796</v>
      </c>
      <c r="I756" s="22" t="s">
        <v>2850</v>
      </c>
    </row>
    <row r="757" spans="8:9">
      <c r="H757" s="20" t="s">
        <v>797</v>
      </c>
      <c r="I757" s="22" t="s">
        <v>2850</v>
      </c>
    </row>
    <row r="758" spans="8:9">
      <c r="H758" s="20" t="s">
        <v>798</v>
      </c>
      <c r="I758" s="22" t="s">
        <v>2850</v>
      </c>
    </row>
    <row r="759" spans="8:9">
      <c r="H759" s="20" t="s">
        <v>799</v>
      </c>
      <c r="I759" s="23" t="s">
        <v>2848</v>
      </c>
    </row>
    <row r="760" spans="8:9">
      <c r="H760" s="20" t="s">
        <v>800</v>
      </c>
      <c r="I760" s="22" t="s">
        <v>2850</v>
      </c>
    </row>
    <row r="761" spans="8:9">
      <c r="H761" s="20" t="s">
        <v>801</v>
      </c>
      <c r="I761" s="22" t="s">
        <v>2850</v>
      </c>
    </row>
    <row r="762" spans="8:9">
      <c r="H762" s="20" t="s">
        <v>802</v>
      </c>
      <c r="I762" s="23" t="s">
        <v>2849</v>
      </c>
    </row>
    <row r="763" spans="8:9">
      <c r="H763" s="20" t="s">
        <v>803</v>
      </c>
      <c r="I763" s="23" t="s">
        <v>2849</v>
      </c>
    </row>
    <row r="764" spans="8:9">
      <c r="H764" s="20" t="s">
        <v>804</v>
      </c>
      <c r="I764" s="22" t="s">
        <v>2849</v>
      </c>
    </row>
    <row r="765" spans="8:9">
      <c r="H765" s="20" t="s">
        <v>805</v>
      </c>
      <c r="I765" s="22" t="s">
        <v>2849</v>
      </c>
    </row>
    <row r="766" spans="8:9">
      <c r="H766" s="12" t="s">
        <v>806</v>
      </c>
      <c r="I766" s="22" t="s">
        <v>2850</v>
      </c>
    </row>
    <row r="767" spans="8:9">
      <c r="H767" s="20" t="s">
        <v>807</v>
      </c>
      <c r="I767" s="22" t="s">
        <v>2849</v>
      </c>
    </row>
    <row r="768" spans="8:9">
      <c r="H768" s="20" t="s">
        <v>808</v>
      </c>
      <c r="I768" s="22" t="s">
        <v>2850</v>
      </c>
    </row>
    <row r="769" spans="8:9">
      <c r="H769" s="20" t="s">
        <v>809</v>
      </c>
      <c r="I769" s="22" t="s">
        <v>2848</v>
      </c>
    </row>
    <row r="770" spans="8:9">
      <c r="H770" s="20" t="s">
        <v>810</v>
      </c>
      <c r="I770" s="22" t="s">
        <v>2848</v>
      </c>
    </row>
    <row r="771" spans="8:9">
      <c r="H771" s="20" t="s">
        <v>811</v>
      </c>
      <c r="I771" s="22" t="s">
        <v>2848</v>
      </c>
    </row>
    <row r="772" spans="8:9">
      <c r="H772" s="20" t="s">
        <v>812</v>
      </c>
      <c r="I772" s="22" t="s">
        <v>2848</v>
      </c>
    </row>
    <row r="773" spans="8:9">
      <c r="H773" s="20" t="s">
        <v>813</v>
      </c>
      <c r="I773" s="22" t="s">
        <v>2849</v>
      </c>
    </row>
    <row r="774" spans="8:9">
      <c r="H774" s="20" t="s">
        <v>814</v>
      </c>
      <c r="I774" s="22" t="s">
        <v>2848</v>
      </c>
    </row>
    <row r="775" spans="8:9">
      <c r="H775" s="20" t="s">
        <v>815</v>
      </c>
      <c r="I775" s="23" t="s">
        <v>2852</v>
      </c>
    </row>
    <row r="776" spans="8:9">
      <c r="H776" s="12" t="s">
        <v>816</v>
      </c>
      <c r="I776" s="22" t="s">
        <v>2849</v>
      </c>
    </row>
    <row r="777" spans="8:9">
      <c r="H777" s="20" t="s">
        <v>817</v>
      </c>
      <c r="I777" s="22" t="s">
        <v>2848</v>
      </c>
    </row>
    <row r="778" spans="8:9">
      <c r="H778" s="20" t="s">
        <v>818</v>
      </c>
      <c r="I778" s="22" t="s">
        <v>2849</v>
      </c>
    </row>
    <row r="779" spans="8:9">
      <c r="H779" s="20" t="s">
        <v>819</v>
      </c>
      <c r="I779" s="22" t="s">
        <v>2848</v>
      </c>
    </row>
    <row r="780" spans="8:9">
      <c r="H780" s="20" t="s">
        <v>820</v>
      </c>
      <c r="I780" s="22" t="s">
        <v>2849</v>
      </c>
    </row>
    <row r="781" spans="8:9">
      <c r="H781" s="20" t="s">
        <v>821</v>
      </c>
      <c r="I781" s="22" t="s">
        <v>2848</v>
      </c>
    </row>
    <row r="782" spans="8:9">
      <c r="H782" s="20" t="s">
        <v>822</v>
      </c>
      <c r="I782" s="22" t="s">
        <v>2849</v>
      </c>
    </row>
    <row r="783" spans="8:9">
      <c r="H783" s="20" t="s">
        <v>823</v>
      </c>
      <c r="I783" s="22" t="s">
        <v>2848</v>
      </c>
    </row>
    <row r="784" spans="8:9">
      <c r="H784" s="20" t="s">
        <v>824</v>
      </c>
      <c r="I784" s="22" t="s">
        <v>2848</v>
      </c>
    </row>
    <row r="785" spans="8:9">
      <c r="H785" s="20" t="s">
        <v>825</v>
      </c>
      <c r="I785" s="22" t="s">
        <v>2848</v>
      </c>
    </row>
    <row r="786" spans="8:9">
      <c r="H786" s="20" t="s">
        <v>826</v>
      </c>
      <c r="I786" s="22" t="s">
        <v>2849</v>
      </c>
    </row>
    <row r="787" spans="8:9">
      <c r="H787" s="20" t="s">
        <v>827</v>
      </c>
      <c r="I787" s="22" t="s">
        <v>2848</v>
      </c>
    </row>
    <row r="788" spans="8:9">
      <c r="H788" s="20" t="s">
        <v>828</v>
      </c>
      <c r="I788" s="22" t="s">
        <v>2848</v>
      </c>
    </row>
    <row r="789" spans="8:9">
      <c r="H789" s="20" t="s">
        <v>829</v>
      </c>
      <c r="I789" s="22" t="s">
        <v>2848</v>
      </c>
    </row>
    <row r="790" spans="8:9">
      <c r="H790" s="20" t="s">
        <v>830</v>
      </c>
      <c r="I790" s="22" t="s">
        <v>2848</v>
      </c>
    </row>
    <row r="791" spans="8:9">
      <c r="H791" s="20" t="s">
        <v>831</v>
      </c>
      <c r="I791" s="22" t="s">
        <v>2848</v>
      </c>
    </row>
    <row r="792" spans="8:9">
      <c r="H792" s="20" t="s">
        <v>832</v>
      </c>
      <c r="I792" s="22" t="s">
        <v>2848</v>
      </c>
    </row>
    <row r="793" spans="8:9">
      <c r="H793" s="20" t="s">
        <v>833</v>
      </c>
      <c r="I793" s="22" t="s">
        <v>2849</v>
      </c>
    </row>
    <row r="794" spans="8:9">
      <c r="H794" s="20" t="s">
        <v>834</v>
      </c>
      <c r="I794" s="22" t="s">
        <v>2849</v>
      </c>
    </row>
    <row r="795" spans="8:9">
      <c r="H795" s="20" t="s">
        <v>835</v>
      </c>
      <c r="I795" s="22" t="s">
        <v>2848</v>
      </c>
    </row>
    <row r="796" spans="8:9">
      <c r="H796" s="20" t="s">
        <v>836</v>
      </c>
      <c r="I796" s="22" t="s">
        <v>2849</v>
      </c>
    </row>
    <row r="797" spans="8:9">
      <c r="H797" s="20" t="s">
        <v>837</v>
      </c>
      <c r="I797" s="22" t="s">
        <v>2850</v>
      </c>
    </row>
    <row r="798" spans="8:9">
      <c r="H798" s="20" t="s">
        <v>838</v>
      </c>
      <c r="I798" s="22" t="s">
        <v>2849</v>
      </c>
    </row>
    <row r="799" spans="8:9">
      <c r="H799" s="20" t="s">
        <v>839</v>
      </c>
      <c r="I799" s="22" t="s">
        <v>2849</v>
      </c>
    </row>
    <row r="800" spans="8:9">
      <c r="H800" s="20" t="s">
        <v>840</v>
      </c>
      <c r="I800" s="22" t="s">
        <v>2850</v>
      </c>
    </row>
    <row r="801" spans="8:9">
      <c r="H801" s="20" t="s">
        <v>841</v>
      </c>
      <c r="I801" s="22" t="s">
        <v>2852</v>
      </c>
    </row>
    <row r="802" spans="8:9">
      <c r="H802" s="20" t="s">
        <v>842</v>
      </c>
      <c r="I802" s="22" t="s">
        <v>2852</v>
      </c>
    </row>
    <row r="803" spans="8:9">
      <c r="H803" s="20" t="s">
        <v>843</v>
      </c>
      <c r="I803" s="22" t="s">
        <v>2848</v>
      </c>
    </row>
    <row r="804" spans="8:9">
      <c r="H804" s="20" t="s">
        <v>844</v>
      </c>
      <c r="I804" s="22" t="s">
        <v>2848</v>
      </c>
    </row>
    <row r="805" spans="8:9">
      <c r="H805" s="20" t="s">
        <v>845</v>
      </c>
      <c r="I805" s="22" t="s">
        <v>2848</v>
      </c>
    </row>
    <row r="806" spans="8:9">
      <c r="H806" s="20" t="s">
        <v>846</v>
      </c>
      <c r="I806" s="22" t="s">
        <v>2848</v>
      </c>
    </row>
    <row r="807" spans="8:9">
      <c r="H807" s="20" t="s">
        <v>847</v>
      </c>
      <c r="I807" s="22" t="s">
        <v>2852</v>
      </c>
    </row>
    <row r="808" spans="8:9">
      <c r="H808" s="20" t="s">
        <v>848</v>
      </c>
      <c r="I808" s="22" t="s">
        <v>2849</v>
      </c>
    </row>
    <row r="809" spans="8:9">
      <c r="H809" s="20" t="s">
        <v>849</v>
      </c>
      <c r="I809" s="22" t="s">
        <v>2848</v>
      </c>
    </row>
    <row r="810" spans="8:9">
      <c r="H810" s="20" t="s">
        <v>850</v>
      </c>
      <c r="I810" s="22" t="s">
        <v>2848</v>
      </c>
    </row>
    <row r="811" spans="8:9">
      <c r="H811" s="20" t="s">
        <v>851</v>
      </c>
      <c r="I811" s="22" t="s">
        <v>2848</v>
      </c>
    </row>
    <row r="812" spans="8:9">
      <c r="H812" s="20" t="s">
        <v>852</v>
      </c>
      <c r="I812" s="22" t="s">
        <v>2848</v>
      </c>
    </row>
    <row r="813" spans="8:9">
      <c r="H813" s="20" t="s">
        <v>853</v>
      </c>
      <c r="I813" s="22" t="s">
        <v>2848</v>
      </c>
    </row>
    <row r="814" spans="8:9">
      <c r="H814" s="20" t="s">
        <v>854</v>
      </c>
      <c r="I814" s="22" t="s">
        <v>2848</v>
      </c>
    </row>
    <row r="815" spans="8:9">
      <c r="H815" s="20" t="s">
        <v>855</v>
      </c>
      <c r="I815" s="23" t="s">
        <v>2848</v>
      </c>
    </row>
    <row r="816" spans="8:9">
      <c r="H816" s="20" t="s">
        <v>856</v>
      </c>
      <c r="I816" s="23" t="s">
        <v>2848</v>
      </c>
    </row>
    <row r="817" spans="8:9">
      <c r="H817" s="20" t="s">
        <v>857</v>
      </c>
      <c r="I817" s="23" t="s">
        <v>2849</v>
      </c>
    </row>
    <row r="818" spans="8:9">
      <c r="H818" s="20" t="s">
        <v>858</v>
      </c>
      <c r="I818" s="22" t="s">
        <v>2849</v>
      </c>
    </row>
    <row r="819" spans="8:9">
      <c r="H819" s="20" t="s">
        <v>859</v>
      </c>
      <c r="I819" s="23" t="s">
        <v>2850</v>
      </c>
    </row>
    <row r="820" spans="8:9">
      <c r="H820" s="20" t="s">
        <v>860</v>
      </c>
      <c r="I820" s="23" t="s">
        <v>2850</v>
      </c>
    </row>
    <row r="821" spans="8:9">
      <c r="H821" s="20" t="s">
        <v>861</v>
      </c>
      <c r="I821" s="23" t="s">
        <v>2852</v>
      </c>
    </row>
    <row r="822" spans="8:9">
      <c r="H822" s="20" t="s">
        <v>862</v>
      </c>
      <c r="I822" s="22" t="s">
        <v>2849</v>
      </c>
    </row>
    <row r="823" spans="8:9">
      <c r="H823" s="20" t="s">
        <v>863</v>
      </c>
      <c r="I823" s="23" t="s">
        <v>2850</v>
      </c>
    </row>
    <row r="824" spans="8:9">
      <c r="H824" s="20" t="s">
        <v>864</v>
      </c>
      <c r="I824" s="22" t="s">
        <v>2849</v>
      </c>
    </row>
    <row r="825" spans="8:9">
      <c r="H825" s="20" t="s">
        <v>865</v>
      </c>
      <c r="I825" s="22" t="s">
        <v>2849</v>
      </c>
    </row>
    <row r="826" spans="8:9">
      <c r="H826" s="20" t="s">
        <v>866</v>
      </c>
      <c r="I826" s="22" t="s">
        <v>2849</v>
      </c>
    </row>
    <row r="827" spans="8:9">
      <c r="H827" s="20" t="s">
        <v>867</v>
      </c>
      <c r="I827" s="22" t="s">
        <v>2848</v>
      </c>
    </row>
    <row r="828" spans="8:9">
      <c r="H828" s="20" t="s">
        <v>868</v>
      </c>
      <c r="I828" s="22" t="s">
        <v>2848</v>
      </c>
    </row>
    <row r="829" spans="8:9">
      <c r="H829" s="20" t="s">
        <v>869</v>
      </c>
      <c r="I829" s="22" t="s">
        <v>2849</v>
      </c>
    </row>
    <row r="830" spans="8:9">
      <c r="H830" s="20" t="s">
        <v>870</v>
      </c>
      <c r="I830" s="22" t="s">
        <v>2855</v>
      </c>
    </row>
    <row r="831" spans="8:9">
      <c r="H831" s="20" t="s">
        <v>871</v>
      </c>
      <c r="I831" s="22" t="s">
        <v>2848</v>
      </c>
    </row>
    <row r="832" spans="8:9">
      <c r="H832" s="20" t="s">
        <v>872</v>
      </c>
      <c r="I832" s="22" t="s">
        <v>2849</v>
      </c>
    </row>
    <row r="833" spans="8:9">
      <c r="H833" s="20" t="s">
        <v>873</v>
      </c>
      <c r="I833" s="22" t="s">
        <v>2849</v>
      </c>
    </row>
    <row r="834" spans="8:9">
      <c r="H834" s="20" t="s">
        <v>874</v>
      </c>
      <c r="I834" s="22" t="s">
        <v>2849</v>
      </c>
    </row>
    <row r="835" spans="8:9">
      <c r="H835" s="20" t="s">
        <v>875</v>
      </c>
      <c r="I835" s="23" t="s">
        <v>2850</v>
      </c>
    </row>
    <row r="836" spans="8:9">
      <c r="H836" s="20" t="s">
        <v>876</v>
      </c>
      <c r="I836" s="23" t="s">
        <v>2849</v>
      </c>
    </row>
    <row r="837" spans="8:9">
      <c r="H837" s="20" t="s">
        <v>877</v>
      </c>
      <c r="I837" s="22" t="s">
        <v>2849</v>
      </c>
    </row>
    <row r="838" spans="8:9">
      <c r="H838" s="20" t="s">
        <v>878</v>
      </c>
      <c r="I838" s="22" t="s">
        <v>2849</v>
      </c>
    </row>
    <row r="839" spans="8:9">
      <c r="H839" s="20" t="s">
        <v>879</v>
      </c>
      <c r="I839" s="23" t="s">
        <v>2850</v>
      </c>
    </row>
    <row r="840" spans="8:9">
      <c r="H840" s="20" t="s">
        <v>880</v>
      </c>
      <c r="I840" s="23" t="s">
        <v>2850</v>
      </c>
    </row>
    <row r="841" spans="8:9">
      <c r="H841" s="20" t="s">
        <v>881</v>
      </c>
      <c r="I841" s="22" t="s">
        <v>2849</v>
      </c>
    </row>
    <row r="842" spans="8:9">
      <c r="H842" s="20" t="s">
        <v>882</v>
      </c>
      <c r="I842" s="23" t="s">
        <v>2848</v>
      </c>
    </row>
    <row r="843" spans="8:9">
      <c r="H843" s="20" t="s">
        <v>883</v>
      </c>
      <c r="I843" s="22" t="s">
        <v>2849</v>
      </c>
    </row>
    <row r="844" spans="8:9">
      <c r="H844" s="20" t="s">
        <v>884</v>
      </c>
      <c r="I844" s="23" t="s">
        <v>2849</v>
      </c>
    </row>
    <row r="845" spans="8:9">
      <c r="H845" s="20" t="s">
        <v>885</v>
      </c>
      <c r="I845" s="22" t="s">
        <v>2849</v>
      </c>
    </row>
    <row r="846" spans="8:9">
      <c r="H846" s="20" t="s">
        <v>886</v>
      </c>
      <c r="I846" s="22" t="s">
        <v>2852</v>
      </c>
    </row>
    <row r="847" spans="8:9">
      <c r="H847" s="20" t="s">
        <v>887</v>
      </c>
      <c r="I847" s="23" t="s">
        <v>2852</v>
      </c>
    </row>
    <row r="848" spans="8:9">
      <c r="H848" s="20" t="s">
        <v>888</v>
      </c>
      <c r="I848" s="22" t="s">
        <v>2848</v>
      </c>
    </row>
    <row r="849" spans="8:9">
      <c r="H849" s="12" t="s">
        <v>889</v>
      </c>
      <c r="I849" s="22" t="s">
        <v>2849</v>
      </c>
    </row>
    <row r="850" spans="8:9">
      <c r="H850" s="20" t="s">
        <v>890</v>
      </c>
      <c r="I850" s="23" t="s">
        <v>2850</v>
      </c>
    </row>
    <row r="851" spans="8:9">
      <c r="H851" s="20" t="s">
        <v>891</v>
      </c>
      <c r="I851" s="23" t="s">
        <v>2850</v>
      </c>
    </row>
    <row r="852" spans="8:9">
      <c r="H852" s="20" t="s">
        <v>892</v>
      </c>
      <c r="I852" s="23" t="s">
        <v>2852</v>
      </c>
    </row>
    <row r="853" spans="8:9">
      <c r="H853" s="20" t="s">
        <v>893</v>
      </c>
      <c r="I853" s="23" t="s">
        <v>2852</v>
      </c>
    </row>
    <row r="854" spans="8:9">
      <c r="H854" s="20" t="s">
        <v>894</v>
      </c>
      <c r="I854" s="23" t="s">
        <v>2852</v>
      </c>
    </row>
    <row r="855" spans="8:9">
      <c r="H855" s="20" t="s">
        <v>895</v>
      </c>
      <c r="I855" s="23" t="s">
        <v>2849</v>
      </c>
    </row>
    <row r="856" spans="8:9">
      <c r="H856" s="20" t="s">
        <v>896</v>
      </c>
      <c r="I856" s="23" t="s">
        <v>2850</v>
      </c>
    </row>
    <row r="857" spans="8:9">
      <c r="H857" s="20" t="s">
        <v>897</v>
      </c>
      <c r="I857" s="22" t="s">
        <v>2848</v>
      </c>
    </row>
    <row r="858" spans="8:9">
      <c r="H858" s="20" t="s">
        <v>898</v>
      </c>
      <c r="I858" s="23" t="s">
        <v>2852</v>
      </c>
    </row>
    <row r="859" spans="8:9">
      <c r="H859" s="20" t="s">
        <v>899</v>
      </c>
      <c r="I859" s="22" t="s">
        <v>2849</v>
      </c>
    </row>
    <row r="860" spans="8:9">
      <c r="H860" s="20" t="s">
        <v>900</v>
      </c>
      <c r="I860" s="22" t="s">
        <v>2849</v>
      </c>
    </row>
    <row r="861" spans="8:9">
      <c r="H861" s="20" t="s">
        <v>901</v>
      </c>
      <c r="I861" s="22" t="s">
        <v>2849</v>
      </c>
    </row>
    <row r="862" spans="8:9">
      <c r="H862" s="20" t="s">
        <v>902</v>
      </c>
      <c r="I862" s="22" t="s">
        <v>2848</v>
      </c>
    </row>
    <row r="863" spans="8:9">
      <c r="H863" s="20" t="s">
        <v>903</v>
      </c>
      <c r="I863" s="23" t="s">
        <v>2850</v>
      </c>
    </row>
    <row r="864" spans="8:9">
      <c r="H864" s="20" t="s">
        <v>904</v>
      </c>
      <c r="I864" s="22" t="s">
        <v>2849</v>
      </c>
    </row>
    <row r="865" spans="8:9">
      <c r="H865" s="20" t="s">
        <v>905</v>
      </c>
      <c r="I865" s="22" t="s">
        <v>2849</v>
      </c>
    </row>
    <row r="866" spans="8:9">
      <c r="H866" s="20" t="s">
        <v>906</v>
      </c>
      <c r="I866" s="22" t="s">
        <v>2850</v>
      </c>
    </row>
    <row r="867" spans="8:9">
      <c r="H867" s="20" t="s">
        <v>907</v>
      </c>
      <c r="I867" s="22" t="s">
        <v>2850</v>
      </c>
    </row>
    <row r="868" spans="8:9">
      <c r="H868" s="20" t="s">
        <v>908</v>
      </c>
      <c r="I868" s="22" t="s">
        <v>2850</v>
      </c>
    </row>
    <row r="869" spans="8:9">
      <c r="H869" s="20" t="s">
        <v>909</v>
      </c>
      <c r="I869" s="22" t="s">
        <v>2850</v>
      </c>
    </row>
    <row r="870" spans="8:9">
      <c r="H870" s="20" t="s">
        <v>910</v>
      </c>
      <c r="I870" s="23" t="s">
        <v>2850</v>
      </c>
    </row>
    <row r="871" spans="8:9">
      <c r="H871" s="20" t="s">
        <v>911</v>
      </c>
      <c r="I871" s="22" t="s">
        <v>2850</v>
      </c>
    </row>
    <row r="872" spans="8:9">
      <c r="H872" s="20" t="s">
        <v>912</v>
      </c>
      <c r="I872" s="22" t="s">
        <v>2852</v>
      </c>
    </row>
    <row r="873" spans="8:9">
      <c r="H873" s="20" t="s">
        <v>913</v>
      </c>
      <c r="I873" s="22" t="s">
        <v>2852</v>
      </c>
    </row>
    <row r="874" spans="8:9">
      <c r="H874" s="20" t="s">
        <v>914</v>
      </c>
      <c r="I874" s="23" t="s">
        <v>2852</v>
      </c>
    </row>
    <row r="875" spans="8:9">
      <c r="H875" s="20" t="s">
        <v>915</v>
      </c>
      <c r="I875" s="22" t="s">
        <v>2852</v>
      </c>
    </row>
    <row r="876" spans="8:9">
      <c r="H876" s="20" t="s">
        <v>916</v>
      </c>
      <c r="I876" s="22" t="s">
        <v>2848</v>
      </c>
    </row>
    <row r="877" spans="8:9">
      <c r="H877" s="20" t="s">
        <v>917</v>
      </c>
      <c r="I877" s="23" t="s">
        <v>2850</v>
      </c>
    </row>
    <row r="878" spans="8:9">
      <c r="H878" s="20" t="s">
        <v>918</v>
      </c>
      <c r="I878" s="22" t="s">
        <v>2850</v>
      </c>
    </row>
    <row r="879" spans="8:9">
      <c r="H879" s="20" t="s">
        <v>919</v>
      </c>
      <c r="I879" s="22" t="s">
        <v>2852</v>
      </c>
    </row>
    <row r="880" spans="8:9">
      <c r="H880" s="20" t="s">
        <v>920</v>
      </c>
      <c r="I880" s="23" t="s">
        <v>2848</v>
      </c>
    </row>
    <row r="881" spans="8:9">
      <c r="H881" s="20" t="s">
        <v>921</v>
      </c>
      <c r="I881" s="22" t="s">
        <v>2849</v>
      </c>
    </row>
    <row r="882" spans="8:9">
      <c r="H882" s="20" t="s">
        <v>922</v>
      </c>
      <c r="I882" s="22" t="s">
        <v>2852</v>
      </c>
    </row>
    <row r="883" spans="8:9">
      <c r="H883" s="20" t="s">
        <v>923</v>
      </c>
      <c r="I883" s="22" t="s">
        <v>2852</v>
      </c>
    </row>
    <row r="884" spans="8:9">
      <c r="H884" s="20" t="s">
        <v>924</v>
      </c>
      <c r="I884" s="23" t="s">
        <v>2852</v>
      </c>
    </row>
    <row r="885" spans="8:9">
      <c r="H885" s="20" t="s">
        <v>925</v>
      </c>
      <c r="I885" s="22" t="s">
        <v>2852</v>
      </c>
    </row>
    <row r="886" spans="8:9">
      <c r="H886" s="20" t="s">
        <v>926</v>
      </c>
      <c r="I886" s="22" t="s">
        <v>2852</v>
      </c>
    </row>
    <row r="887" spans="8:9">
      <c r="H887" s="20" t="s">
        <v>927</v>
      </c>
      <c r="I887" s="22" t="s">
        <v>2852</v>
      </c>
    </row>
    <row r="888" spans="8:9">
      <c r="H888" s="20" t="s">
        <v>928</v>
      </c>
      <c r="I888" s="22" t="s">
        <v>2852</v>
      </c>
    </row>
    <row r="889" spans="8:9">
      <c r="H889" s="20" t="s">
        <v>929</v>
      </c>
      <c r="I889" s="22" t="s">
        <v>2852</v>
      </c>
    </row>
    <row r="890" spans="8:9">
      <c r="H890" s="20" t="s">
        <v>930</v>
      </c>
      <c r="I890" s="22" t="s">
        <v>2852</v>
      </c>
    </row>
    <row r="891" spans="8:9">
      <c r="H891" s="20" t="s">
        <v>931</v>
      </c>
      <c r="I891" s="23" t="s">
        <v>2852</v>
      </c>
    </row>
    <row r="892" spans="8:9">
      <c r="H892" s="20" t="s">
        <v>932</v>
      </c>
      <c r="I892" s="22" t="s">
        <v>2852</v>
      </c>
    </row>
    <row r="893" spans="8:9">
      <c r="H893" s="20" t="s">
        <v>933</v>
      </c>
      <c r="I893" s="22" t="s">
        <v>2852</v>
      </c>
    </row>
    <row r="894" spans="8:9">
      <c r="H894" s="20" t="s">
        <v>934</v>
      </c>
      <c r="I894" s="22" t="s">
        <v>2852</v>
      </c>
    </row>
    <row r="895" spans="8:9">
      <c r="H895" s="20" t="s">
        <v>935</v>
      </c>
      <c r="I895" s="22" t="s">
        <v>2852</v>
      </c>
    </row>
    <row r="896" spans="8:9">
      <c r="H896" s="20" t="s">
        <v>936</v>
      </c>
      <c r="I896" s="22" t="s">
        <v>2852</v>
      </c>
    </row>
    <row r="897" spans="8:9">
      <c r="H897" s="20" t="s">
        <v>937</v>
      </c>
      <c r="I897" s="22" t="s">
        <v>2852</v>
      </c>
    </row>
    <row r="898" spans="8:9">
      <c r="H898" s="20" t="s">
        <v>938</v>
      </c>
      <c r="I898" s="22" t="s">
        <v>2852</v>
      </c>
    </row>
    <row r="899" spans="8:9">
      <c r="H899" s="20" t="s">
        <v>939</v>
      </c>
      <c r="I899" s="22" t="s">
        <v>2852</v>
      </c>
    </row>
    <row r="900" spans="8:9">
      <c r="H900" s="20" t="s">
        <v>940</v>
      </c>
      <c r="I900" s="22" t="s">
        <v>2852</v>
      </c>
    </row>
    <row r="901" spans="8:9">
      <c r="H901" s="20" t="s">
        <v>941</v>
      </c>
      <c r="I901" s="22" t="s">
        <v>2852</v>
      </c>
    </row>
    <row r="902" spans="8:9">
      <c r="H902" s="20" t="s">
        <v>942</v>
      </c>
      <c r="I902" s="23" t="s">
        <v>2852</v>
      </c>
    </row>
    <row r="903" spans="8:9">
      <c r="H903" s="20" t="s">
        <v>943</v>
      </c>
      <c r="I903" s="22" t="s">
        <v>2852</v>
      </c>
    </row>
    <row r="904" spans="8:9">
      <c r="H904" s="20" t="s">
        <v>944</v>
      </c>
      <c r="I904" s="22" t="s">
        <v>2852</v>
      </c>
    </row>
    <row r="905" spans="8:9">
      <c r="H905" s="20" t="s">
        <v>945</v>
      </c>
      <c r="I905" s="23" t="s">
        <v>2852</v>
      </c>
    </row>
    <row r="906" spans="8:9">
      <c r="H906" s="20" t="s">
        <v>946</v>
      </c>
      <c r="I906" s="22" t="s">
        <v>2850</v>
      </c>
    </row>
    <row r="907" spans="8:9">
      <c r="H907" s="20" t="s">
        <v>947</v>
      </c>
      <c r="I907" s="22" t="s">
        <v>2848</v>
      </c>
    </row>
    <row r="908" spans="8:9">
      <c r="H908" s="20" t="s">
        <v>948</v>
      </c>
      <c r="I908" s="22" t="s">
        <v>2849</v>
      </c>
    </row>
    <row r="909" spans="8:9">
      <c r="H909" s="20" t="s">
        <v>949</v>
      </c>
      <c r="I909" s="22" t="s">
        <v>2849</v>
      </c>
    </row>
    <row r="910" spans="8:9">
      <c r="H910" s="20" t="s">
        <v>950</v>
      </c>
      <c r="I910" s="22" t="s">
        <v>2850</v>
      </c>
    </row>
    <row r="911" spans="8:9">
      <c r="H911" s="20" t="s">
        <v>951</v>
      </c>
      <c r="I911" s="23" t="s">
        <v>2850</v>
      </c>
    </row>
    <row r="912" spans="8:9">
      <c r="H912" s="20" t="s">
        <v>952</v>
      </c>
      <c r="I912" s="23" t="s">
        <v>2849</v>
      </c>
    </row>
    <row r="913" spans="8:9">
      <c r="H913" s="20" t="s">
        <v>953</v>
      </c>
      <c r="I913" s="22" t="s">
        <v>2849</v>
      </c>
    </row>
    <row r="914" spans="8:9">
      <c r="H914" s="20" t="s">
        <v>954</v>
      </c>
      <c r="I914" s="22" t="s">
        <v>2849</v>
      </c>
    </row>
    <row r="915" spans="8:9">
      <c r="H915" s="20" t="s">
        <v>955</v>
      </c>
      <c r="I915" s="22" t="s">
        <v>2849</v>
      </c>
    </row>
    <row r="916" spans="8:9">
      <c r="H916" s="20" t="s">
        <v>956</v>
      </c>
      <c r="I916" s="22" t="s">
        <v>2848</v>
      </c>
    </row>
    <row r="917" spans="8:9">
      <c r="H917" s="20" t="s">
        <v>957</v>
      </c>
      <c r="I917" s="22" t="s">
        <v>2849</v>
      </c>
    </row>
    <row r="918" spans="8:9">
      <c r="H918" s="20" t="s">
        <v>958</v>
      </c>
      <c r="I918" s="22" t="s">
        <v>2848</v>
      </c>
    </row>
    <row r="919" spans="8:9">
      <c r="H919" s="20" t="s">
        <v>959</v>
      </c>
      <c r="I919" s="22" t="s">
        <v>2848</v>
      </c>
    </row>
    <row r="920" spans="8:9">
      <c r="H920" s="20" t="s">
        <v>960</v>
      </c>
      <c r="I920" s="22" t="s">
        <v>2849</v>
      </c>
    </row>
    <row r="921" spans="8:9">
      <c r="H921" s="20" t="s">
        <v>961</v>
      </c>
      <c r="I921" s="23" t="s">
        <v>2850</v>
      </c>
    </row>
    <row r="922" spans="8:9">
      <c r="H922" s="20" t="s">
        <v>962</v>
      </c>
      <c r="I922" s="22" t="s">
        <v>2849</v>
      </c>
    </row>
    <row r="923" spans="8:9">
      <c r="H923" s="20" t="s">
        <v>963</v>
      </c>
      <c r="I923" s="22" t="s">
        <v>2849</v>
      </c>
    </row>
    <row r="924" spans="8:9">
      <c r="H924" s="20" t="s">
        <v>964</v>
      </c>
      <c r="I924" s="22" t="s">
        <v>2849</v>
      </c>
    </row>
    <row r="925" spans="8:9">
      <c r="H925" s="20" t="s">
        <v>965</v>
      </c>
      <c r="I925" s="22" t="s">
        <v>2849</v>
      </c>
    </row>
    <row r="926" spans="8:9">
      <c r="H926" s="20" t="s">
        <v>966</v>
      </c>
      <c r="I926" s="22" t="s">
        <v>2849</v>
      </c>
    </row>
    <row r="927" spans="8:9">
      <c r="H927" s="20" t="s">
        <v>967</v>
      </c>
      <c r="I927" s="22" t="s">
        <v>2849</v>
      </c>
    </row>
    <row r="928" spans="8:9">
      <c r="H928" s="20" t="s">
        <v>968</v>
      </c>
      <c r="I928" s="22" t="s">
        <v>2849</v>
      </c>
    </row>
    <row r="929" spans="8:9">
      <c r="H929" s="20" t="s">
        <v>969</v>
      </c>
      <c r="I929" s="22" t="s">
        <v>2849</v>
      </c>
    </row>
    <row r="930" spans="8:9">
      <c r="H930" s="20" t="s">
        <v>970</v>
      </c>
      <c r="I930" s="22" t="s">
        <v>2849</v>
      </c>
    </row>
    <row r="931" spans="8:9">
      <c r="H931" s="20" t="s">
        <v>971</v>
      </c>
      <c r="I931" s="22" t="s">
        <v>2849</v>
      </c>
    </row>
    <row r="932" spans="8:9">
      <c r="H932" s="20" t="s">
        <v>972</v>
      </c>
      <c r="I932" s="22" t="s">
        <v>2849</v>
      </c>
    </row>
    <row r="933" spans="8:9">
      <c r="H933" s="20" t="s">
        <v>973</v>
      </c>
      <c r="I933" s="22" t="s">
        <v>2849</v>
      </c>
    </row>
    <row r="934" spans="8:9">
      <c r="H934" s="20" t="s">
        <v>974</v>
      </c>
      <c r="I934" s="22" t="s">
        <v>2849</v>
      </c>
    </row>
    <row r="935" spans="8:9">
      <c r="H935" s="20" t="s">
        <v>975</v>
      </c>
      <c r="I935" s="22" t="s">
        <v>2849</v>
      </c>
    </row>
    <row r="936" spans="8:9">
      <c r="H936" s="20" t="s">
        <v>976</v>
      </c>
      <c r="I936" s="22" t="s">
        <v>2849</v>
      </c>
    </row>
    <row r="937" spans="8:9">
      <c r="H937" s="20" t="s">
        <v>977</v>
      </c>
      <c r="I937" s="22" t="s">
        <v>2849</v>
      </c>
    </row>
    <row r="938" spans="8:9">
      <c r="H938" s="20" t="s">
        <v>978</v>
      </c>
      <c r="I938" s="23" t="s">
        <v>2849</v>
      </c>
    </row>
    <row r="939" spans="8:9">
      <c r="H939" s="20" t="s">
        <v>979</v>
      </c>
      <c r="I939" s="22" t="s">
        <v>2849</v>
      </c>
    </row>
    <row r="940" spans="8:9">
      <c r="H940" s="20" t="s">
        <v>980</v>
      </c>
      <c r="I940" s="22" t="s">
        <v>2849</v>
      </c>
    </row>
    <row r="941" spans="8:9">
      <c r="H941" s="20" t="s">
        <v>981</v>
      </c>
      <c r="I941" s="23" t="s">
        <v>2849</v>
      </c>
    </row>
    <row r="942" spans="8:9">
      <c r="H942" s="20" t="s">
        <v>982</v>
      </c>
      <c r="I942" s="23" t="s">
        <v>2848</v>
      </c>
    </row>
    <row r="943" spans="8:9">
      <c r="H943" s="20" t="s">
        <v>983</v>
      </c>
      <c r="I943" s="23" t="s">
        <v>2850</v>
      </c>
    </row>
    <row r="944" spans="8:9">
      <c r="H944" s="20" t="s">
        <v>984</v>
      </c>
      <c r="I944" s="23" t="s">
        <v>2852</v>
      </c>
    </row>
    <row r="945" spans="8:9">
      <c r="H945" s="20" t="s">
        <v>985</v>
      </c>
      <c r="I945" s="23" t="s">
        <v>2852</v>
      </c>
    </row>
    <row r="946" spans="8:9">
      <c r="H946" s="20" t="s">
        <v>986</v>
      </c>
      <c r="I946" s="23" t="s">
        <v>2849</v>
      </c>
    </row>
    <row r="947" spans="8:9">
      <c r="H947" s="20" t="s">
        <v>987</v>
      </c>
      <c r="I947" s="22" t="s">
        <v>2849</v>
      </c>
    </row>
    <row r="948" spans="8:9">
      <c r="H948" s="20" t="s">
        <v>988</v>
      </c>
      <c r="I948" s="23" t="s">
        <v>2850</v>
      </c>
    </row>
    <row r="949" spans="8:9">
      <c r="H949" s="20" t="s">
        <v>989</v>
      </c>
      <c r="I949" s="22" t="s">
        <v>2848</v>
      </c>
    </row>
    <row r="950" spans="8:9">
      <c r="H950" s="20" t="s">
        <v>990</v>
      </c>
      <c r="I950" s="22" t="s">
        <v>2848</v>
      </c>
    </row>
    <row r="951" spans="8:9">
      <c r="H951" s="20" t="s">
        <v>991</v>
      </c>
      <c r="I951" s="22" t="s">
        <v>2849</v>
      </c>
    </row>
    <row r="952" spans="8:9">
      <c r="H952" s="20" t="s">
        <v>992</v>
      </c>
      <c r="I952" s="22" t="s">
        <v>2852</v>
      </c>
    </row>
    <row r="953" spans="8:9">
      <c r="H953" s="20" t="s">
        <v>993</v>
      </c>
      <c r="I953" s="22" t="s">
        <v>2852</v>
      </c>
    </row>
    <row r="954" spans="8:9">
      <c r="H954" s="20" t="s">
        <v>994</v>
      </c>
      <c r="I954" s="22" t="s">
        <v>2852</v>
      </c>
    </row>
    <row r="955" spans="8:9">
      <c r="H955" s="20" t="s">
        <v>995</v>
      </c>
      <c r="I955" s="22" t="s">
        <v>2852</v>
      </c>
    </row>
    <row r="956" spans="8:9">
      <c r="H956" s="20" t="s">
        <v>996</v>
      </c>
      <c r="I956" s="23" t="s">
        <v>2852</v>
      </c>
    </row>
    <row r="957" spans="8:9">
      <c r="H957" s="20" t="s">
        <v>997</v>
      </c>
      <c r="I957" s="22" t="s">
        <v>2850</v>
      </c>
    </row>
    <row r="958" spans="8:9">
      <c r="H958" s="20" t="s">
        <v>998</v>
      </c>
      <c r="I958" s="22" t="s">
        <v>2850</v>
      </c>
    </row>
    <row r="959" spans="8:9">
      <c r="H959" s="20" t="s">
        <v>999</v>
      </c>
      <c r="I959" s="23" t="s">
        <v>2850</v>
      </c>
    </row>
    <row r="960" spans="8:9">
      <c r="H960" s="20" t="s">
        <v>1000</v>
      </c>
      <c r="I960" s="23" t="s">
        <v>2849</v>
      </c>
    </row>
    <row r="961" spans="8:9">
      <c r="H961" s="20" t="s">
        <v>1001</v>
      </c>
      <c r="I961" s="22" t="s">
        <v>2849</v>
      </c>
    </row>
    <row r="962" spans="8:9">
      <c r="H962" s="20" t="s">
        <v>1002</v>
      </c>
      <c r="I962" s="23" t="s">
        <v>2852</v>
      </c>
    </row>
    <row r="963" spans="8:9">
      <c r="H963" s="20" t="s">
        <v>1003</v>
      </c>
      <c r="I963" s="22" t="s">
        <v>2850</v>
      </c>
    </row>
    <row r="964" spans="8:9">
      <c r="H964" s="20" t="s">
        <v>1004</v>
      </c>
      <c r="I964" s="23" t="s">
        <v>2849</v>
      </c>
    </row>
    <row r="965" spans="8:9">
      <c r="H965" s="20" t="s">
        <v>1005</v>
      </c>
      <c r="I965" s="22" t="s">
        <v>2848</v>
      </c>
    </row>
    <row r="966" spans="8:9">
      <c r="H966" s="20" t="s">
        <v>1006</v>
      </c>
      <c r="I966" s="23" t="s">
        <v>2850</v>
      </c>
    </row>
    <row r="967" spans="8:9">
      <c r="H967" s="20" t="s">
        <v>1007</v>
      </c>
      <c r="I967" s="23" t="s">
        <v>2850</v>
      </c>
    </row>
    <row r="968" spans="8:9">
      <c r="H968" s="20" t="s">
        <v>1008</v>
      </c>
      <c r="I968" s="23" t="s">
        <v>2850</v>
      </c>
    </row>
    <row r="969" spans="8:9">
      <c r="H969" s="20" t="s">
        <v>1009</v>
      </c>
      <c r="I969" s="22" t="s">
        <v>2848</v>
      </c>
    </row>
    <row r="970" spans="8:9">
      <c r="H970" s="20" t="s">
        <v>1010</v>
      </c>
      <c r="I970" s="23" t="s">
        <v>2850</v>
      </c>
    </row>
    <row r="971" spans="8:9">
      <c r="H971" s="20" t="s">
        <v>1011</v>
      </c>
      <c r="I971" s="22" t="s">
        <v>2850</v>
      </c>
    </row>
    <row r="972" spans="8:9">
      <c r="H972" s="20" t="s">
        <v>1012</v>
      </c>
      <c r="I972" s="22" t="s">
        <v>2849</v>
      </c>
    </row>
    <row r="973" spans="8:9">
      <c r="H973" s="20" t="s">
        <v>1013</v>
      </c>
      <c r="I973" s="22" t="s">
        <v>2848</v>
      </c>
    </row>
    <row r="974" spans="8:9">
      <c r="H974" s="20" t="s">
        <v>1014</v>
      </c>
      <c r="I974" s="22" t="s">
        <v>2848</v>
      </c>
    </row>
    <row r="975" spans="8:9">
      <c r="H975" s="20" t="s">
        <v>1015</v>
      </c>
      <c r="I975" s="22" t="s">
        <v>2848</v>
      </c>
    </row>
    <row r="976" spans="8:9">
      <c r="H976" s="20" t="s">
        <v>1016</v>
      </c>
      <c r="I976" s="22" t="s">
        <v>2849</v>
      </c>
    </row>
    <row r="977" spans="8:9">
      <c r="H977" s="20" t="s">
        <v>1017</v>
      </c>
      <c r="I977" s="23" t="s">
        <v>2850</v>
      </c>
    </row>
    <row r="978" spans="8:9">
      <c r="H978" s="20" t="s">
        <v>1017</v>
      </c>
      <c r="I978" s="22" t="s">
        <v>2850</v>
      </c>
    </row>
    <row r="979" spans="8:9">
      <c r="H979" s="20" t="s">
        <v>1018</v>
      </c>
      <c r="I979" s="22" t="s">
        <v>2848</v>
      </c>
    </row>
    <row r="980" spans="8:9">
      <c r="H980" s="20" t="s">
        <v>1019</v>
      </c>
      <c r="I980" s="23" t="s">
        <v>2850</v>
      </c>
    </row>
    <row r="981" spans="8:9">
      <c r="H981" s="20" t="s">
        <v>1020</v>
      </c>
      <c r="I981" s="22" t="s">
        <v>2849</v>
      </c>
    </row>
    <row r="982" spans="8:9">
      <c r="H982" s="20" t="s">
        <v>1021</v>
      </c>
      <c r="I982" s="23" t="s">
        <v>2849</v>
      </c>
    </row>
    <row r="983" spans="8:9">
      <c r="H983" s="20" t="s">
        <v>1022</v>
      </c>
      <c r="I983" s="23" t="s">
        <v>2849</v>
      </c>
    </row>
    <row r="984" spans="8:9">
      <c r="H984" s="20" t="s">
        <v>1023</v>
      </c>
      <c r="I984" s="22" t="s">
        <v>2850</v>
      </c>
    </row>
    <row r="985" spans="8:9">
      <c r="H985" s="20" t="s">
        <v>1024</v>
      </c>
      <c r="I985" s="23" t="s">
        <v>2852</v>
      </c>
    </row>
    <row r="986" spans="8:9">
      <c r="H986" s="20" t="s">
        <v>1025</v>
      </c>
      <c r="I986" s="23" t="s">
        <v>2850</v>
      </c>
    </row>
    <row r="987" spans="8:9">
      <c r="H987" s="20" t="s">
        <v>1026</v>
      </c>
      <c r="I987" s="22" t="s">
        <v>2849</v>
      </c>
    </row>
    <row r="988" spans="8:9">
      <c r="H988" s="20" t="s">
        <v>1027</v>
      </c>
      <c r="I988" s="23" t="s">
        <v>2850</v>
      </c>
    </row>
    <row r="989" spans="8:9">
      <c r="H989" s="20" t="s">
        <v>1028</v>
      </c>
      <c r="I989" s="22" t="s">
        <v>2849</v>
      </c>
    </row>
    <row r="990" spans="8:9">
      <c r="H990" s="20" t="s">
        <v>1029</v>
      </c>
      <c r="I990" s="23" t="s">
        <v>2850</v>
      </c>
    </row>
    <row r="991" spans="8:9">
      <c r="H991" s="20" t="s">
        <v>1030</v>
      </c>
      <c r="I991" s="22" t="s">
        <v>2849</v>
      </c>
    </row>
    <row r="992" spans="8:9">
      <c r="H992" s="20" t="s">
        <v>1031</v>
      </c>
      <c r="I992" s="22" t="s">
        <v>2849</v>
      </c>
    </row>
    <row r="993" spans="8:9">
      <c r="H993" s="20" t="s">
        <v>1032</v>
      </c>
      <c r="I993" s="22" t="s">
        <v>2849</v>
      </c>
    </row>
    <row r="994" spans="8:9">
      <c r="H994" s="20" t="s">
        <v>1033</v>
      </c>
      <c r="I994" s="22" t="s">
        <v>2849</v>
      </c>
    </row>
    <row r="995" spans="8:9">
      <c r="H995" s="20" t="s">
        <v>1034</v>
      </c>
      <c r="I995" s="23" t="s">
        <v>2849</v>
      </c>
    </row>
    <row r="996" spans="8:9">
      <c r="H996" s="20" t="s">
        <v>1035</v>
      </c>
      <c r="I996" s="22" t="s">
        <v>2849</v>
      </c>
    </row>
    <row r="997" spans="8:9">
      <c r="H997" s="20" t="s">
        <v>1036</v>
      </c>
      <c r="I997" s="22" t="s">
        <v>2848</v>
      </c>
    </row>
    <row r="998" spans="8:9">
      <c r="H998" s="20" t="s">
        <v>1037</v>
      </c>
      <c r="I998" s="22" t="s">
        <v>2848</v>
      </c>
    </row>
    <row r="999" spans="8:9">
      <c r="H999" s="20" t="s">
        <v>1038</v>
      </c>
      <c r="I999" s="22" t="s">
        <v>2848</v>
      </c>
    </row>
    <row r="1000" spans="8:9">
      <c r="H1000" s="20" t="s">
        <v>1039</v>
      </c>
      <c r="I1000" s="22" t="s">
        <v>2849</v>
      </c>
    </row>
    <row r="1001" spans="8:9">
      <c r="H1001" s="20" t="s">
        <v>1040</v>
      </c>
      <c r="I1001" s="23" t="s">
        <v>2850</v>
      </c>
    </row>
    <row r="1002" spans="8:9">
      <c r="H1002" s="20" t="s">
        <v>1041</v>
      </c>
      <c r="I1002" s="23" t="s">
        <v>2850</v>
      </c>
    </row>
    <row r="1003" spans="8:9">
      <c r="H1003" s="20" t="s">
        <v>1042</v>
      </c>
      <c r="I1003" s="22" t="s">
        <v>2849</v>
      </c>
    </row>
    <row r="1004" spans="8:9">
      <c r="H1004" s="20" t="s">
        <v>1043</v>
      </c>
      <c r="I1004" s="23" t="s">
        <v>2850</v>
      </c>
    </row>
    <row r="1005" spans="8:9">
      <c r="H1005" s="20" t="s">
        <v>1044</v>
      </c>
      <c r="I1005" s="22" t="s">
        <v>2848</v>
      </c>
    </row>
    <row r="1006" spans="8:9">
      <c r="H1006" s="20" t="s">
        <v>1045</v>
      </c>
      <c r="I1006" s="22" t="s">
        <v>2848</v>
      </c>
    </row>
    <row r="1007" spans="8:9">
      <c r="H1007" s="20" t="s">
        <v>1046</v>
      </c>
      <c r="I1007" s="22" t="s">
        <v>2849</v>
      </c>
    </row>
    <row r="1008" spans="8:9">
      <c r="H1008" s="20" t="s">
        <v>1047</v>
      </c>
      <c r="I1008" s="22" t="s">
        <v>2849</v>
      </c>
    </row>
    <row r="1009" spans="8:9">
      <c r="H1009" s="20" t="s">
        <v>1048</v>
      </c>
      <c r="I1009" s="22" t="s">
        <v>2848</v>
      </c>
    </row>
    <row r="1010" spans="8:9">
      <c r="H1010" s="20" t="s">
        <v>1049</v>
      </c>
      <c r="I1010" s="23" t="s">
        <v>2850</v>
      </c>
    </row>
    <row r="1011" spans="8:9">
      <c r="H1011" s="20" t="s">
        <v>1050</v>
      </c>
      <c r="I1011" s="22" t="s">
        <v>2848</v>
      </c>
    </row>
    <row r="1012" spans="8:9">
      <c r="H1012" s="20" t="s">
        <v>1051</v>
      </c>
      <c r="I1012" s="23" t="s">
        <v>2849</v>
      </c>
    </row>
    <row r="1013" spans="8:9">
      <c r="H1013" s="20" t="s">
        <v>1052</v>
      </c>
      <c r="I1013" s="23" t="s">
        <v>2850</v>
      </c>
    </row>
    <row r="1014" spans="8:9">
      <c r="H1014" s="20" t="s">
        <v>1053</v>
      </c>
      <c r="I1014" s="23" t="s">
        <v>2849</v>
      </c>
    </row>
    <row r="1015" spans="8:9">
      <c r="H1015" s="20" t="s">
        <v>1054</v>
      </c>
      <c r="I1015" s="22" t="s">
        <v>2849</v>
      </c>
    </row>
    <row r="1016" spans="8:9">
      <c r="H1016" s="20" t="s">
        <v>1055</v>
      </c>
      <c r="I1016" s="23" t="s">
        <v>2849</v>
      </c>
    </row>
    <row r="1017" spans="8:9">
      <c r="H1017" s="20" t="s">
        <v>1056</v>
      </c>
      <c r="I1017" s="23" t="s">
        <v>2850</v>
      </c>
    </row>
    <row r="1018" spans="8:9">
      <c r="H1018" s="20" t="s">
        <v>1057</v>
      </c>
      <c r="I1018" s="23" t="s">
        <v>2850</v>
      </c>
    </row>
    <row r="1019" spans="8:9">
      <c r="H1019" s="20" t="s">
        <v>1058</v>
      </c>
      <c r="I1019" s="22" t="s">
        <v>2848</v>
      </c>
    </row>
    <row r="1020" spans="8:9">
      <c r="H1020" s="20" t="s">
        <v>1059</v>
      </c>
      <c r="I1020" s="22" t="s">
        <v>2849</v>
      </c>
    </row>
    <row r="1021" spans="8:9">
      <c r="H1021" s="20" t="s">
        <v>1060</v>
      </c>
      <c r="I1021" s="22" t="s">
        <v>2849</v>
      </c>
    </row>
    <row r="1022" spans="8:9">
      <c r="H1022" s="20" t="s">
        <v>1061</v>
      </c>
      <c r="I1022" s="22" t="s">
        <v>2848</v>
      </c>
    </row>
    <row r="1023" spans="8:9">
      <c r="H1023" s="20" t="s">
        <v>1062</v>
      </c>
      <c r="I1023" s="22" t="s">
        <v>2849</v>
      </c>
    </row>
    <row r="1024" spans="8:9">
      <c r="H1024" s="20" t="s">
        <v>1063</v>
      </c>
      <c r="I1024" s="22" t="s">
        <v>2848</v>
      </c>
    </row>
    <row r="1025" spans="8:9">
      <c r="H1025" s="20" t="s">
        <v>1064</v>
      </c>
      <c r="I1025" s="22" t="s">
        <v>2849</v>
      </c>
    </row>
    <row r="1026" spans="8:9">
      <c r="H1026" s="20" t="s">
        <v>1065</v>
      </c>
      <c r="I1026" s="23" t="s">
        <v>2849</v>
      </c>
    </row>
    <row r="1027" spans="8:9">
      <c r="H1027" s="20" t="s">
        <v>1066</v>
      </c>
      <c r="I1027" s="22" t="s">
        <v>2849</v>
      </c>
    </row>
    <row r="1028" spans="8:9">
      <c r="H1028" s="20" t="s">
        <v>1067</v>
      </c>
      <c r="I1028" s="22" t="s">
        <v>2848</v>
      </c>
    </row>
    <row r="1029" spans="8:9">
      <c r="H1029" s="20" t="s">
        <v>1068</v>
      </c>
      <c r="I1029" s="22" t="s">
        <v>2849</v>
      </c>
    </row>
    <row r="1030" spans="8:9">
      <c r="H1030" s="20" t="s">
        <v>1069</v>
      </c>
      <c r="I1030" s="22" t="s">
        <v>2849</v>
      </c>
    </row>
    <row r="1031" spans="8:9">
      <c r="H1031" s="20" t="s">
        <v>1070</v>
      </c>
      <c r="I1031" s="22" t="s">
        <v>2849</v>
      </c>
    </row>
    <row r="1032" spans="8:9">
      <c r="H1032" s="20" t="s">
        <v>1071</v>
      </c>
      <c r="I1032" s="22" t="s">
        <v>2849</v>
      </c>
    </row>
    <row r="1033" spans="8:9">
      <c r="H1033" s="20" t="s">
        <v>1072</v>
      </c>
      <c r="I1033" s="23" t="s">
        <v>2850</v>
      </c>
    </row>
    <row r="1034" spans="8:9">
      <c r="H1034" s="20" t="s">
        <v>1073</v>
      </c>
      <c r="I1034" s="22" t="s">
        <v>2852</v>
      </c>
    </row>
    <row r="1035" spans="8:9">
      <c r="H1035" s="20" t="s">
        <v>1074</v>
      </c>
      <c r="I1035" s="22" t="s">
        <v>2852</v>
      </c>
    </row>
    <row r="1036" spans="8:9">
      <c r="H1036" s="20" t="s">
        <v>1075</v>
      </c>
      <c r="I1036" s="22" t="s">
        <v>2849</v>
      </c>
    </row>
    <row r="1037" spans="8:9">
      <c r="H1037" s="20" t="s">
        <v>1076</v>
      </c>
      <c r="I1037" s="22" t="s">
        <v>2852</v>
      </c>
    </row>
    <row r="1038" spans="8:9">
      <c r="H1038" s="20" t="s">
        <v>1077</v>
      </c>
      <c r="I1038" s="22" t="s">
        <v>2852</v>
      </c>
    </row>
    <row r="1039" spans="8:9">
      <c r="H1039" s="20" t="s">
        <v>1078</v>
      </c>
      <c r="I1039" s="23" t="s">
        <v>2850</v>
      </c>
    </row>
    <row r="1040" spans="8:9">
      <c r="H1040" s="20" t="s">
        <v>1079</v>
      </c>
      <c r="I1040" s="22" t="s">
        <v>2852</v>
      </c>
    </row>
    <row r="1041" spans="8:9">
      <c r="H1041" s="20" t="s">
        <v>1080</v>
      </c>
      <c r="I1041" s="22" t="s">
        <v>2852</v>
      </c>
    </row>
    <row r="1042" spans="8:9">
      <c r="H1042" s="20" t="s">
        <v>1081</v>
      </c>
      <c r="I1042" s="23" t="s">
        <v>2850</v>
      </c>
    </row>
    <row r="1043" spans="8:9">
      <c r="H1043" s="20" t="s">
        <v>1082</v>
      </c>
      <c r="I1043" s="23" t="s">
        <v>2852</v>
      </c>
    </row>
    <row r="1044" spans="8:9">
      <c r="H1044" s="20" t="s">
        <v>1083</v>
      </c>
      <c r="I1044" s="22" t="s">
        <v>2849</v>
      </c>
    </row>
    <row r="1045" spans="8:9">
      <c r="H1045" s="20" t="s">
        <v>1084</v>
      </c>
      <c r="I1045" s="21" t="s">
        <v>2849</v>
      </c>
    </row>
    <row r="1046" spans="8:9">
      <c r="H1046" s="20" t="s">
        <v>1085</v>
      </c>
      <c r="I1046" s="21" t="s">
        <v>2850</v>
      </c>
    </row>
    <row r="1047" spans="8:9">
      <c r="H1047" s="20" t="s">
        <v>1086</v>
      </c>
      <c r="I1047" s="21" t="s">
        <v>2850</v>
      </c>
    </row>
    <row r="1048" spans="8:9">
      <c r="H1048" s="20" t="s">
        <v>1087</v>
      </c>
      <c r="I1048" s="21" t="s">
        <v>2849</v>
      </c>
    </row>
    <row r="1049" spans="8:9">
      <c r="H1049" s="20" t="s">
        <v>1088</v>
      </c>
      <c r="I1049" s="22" t="s">
        <v>2848</v>
      </c>
    </row>
    <row r="1050" spans="8:9">
      <c r="H1050" s="20" t="s">
        <v>1089</v>
      </c>
      <c r="I1050" s="22" t="s">
        <v>2849</v>
      </c>
    </row>
    <row r="1051" spans="8:9">
      <c r="H1051" s="20" t="s">
        <v>1090</v>
      </c>
      <c r="I1051" s="21" t="s">
        <v>2850</v>
      </c>
    </row>
    <row r="1052" spans="8:9">
      <c r="H1052" s="20" t="s">
        <v>1091</v>
      </c>
      <c r="I1052" s="22" t="s">
        <v>2848</v>
      </c>
    </row>
    <row r="1053" spans="8:9">
      <c r="H1053" s="20" t="s">
        <v>1092</v>
      </c>
      <c r="I1053" s="22" t="s">
        <v>2848</v>
      </c>
    </row>
    <row r="1054" spans="8:9">
      <c r="H1054" s="20" t="s">
        <v>1093</v>
      </c>
      <c r="I1054" s="21" t="s">
        <v>2849</v>
      </c>
    </row>
    <row r="1055" spans="8:9">
      <c r="H1055" s="20" t="s">
        <v>1094</v>
      </c>
      <c r="I1055" s="21" t="s">
        <v>2850</v>
      </c>
    </row>
    <row r="1056" spans="8:9">
      <c r="H1056" s="20" t="s">
        <v>1095</v>
      </c>
      <c r="I1056" s="22" t="s">
        <v>2848</v>
      </c>
    </row>
    <row r="1057" spans="8:9">
      <c r="H1057" s="20" t="s">
        <v>1096</v>
      </c>
      <c r="I1057" s="21" t="s">
        <v>2848</v>
      </c>
    </row>
    <row r="1058" spans="8:9">
      <c r="H1058" s="20" t="s">
        <v>1097</v>
      </c>
      <c r="I1058" s="21" t="s">
        <v>2852</v>
      </c>
    </row>
    <row r="1059" spans="8:9">
      <c r="H1059" s="20" t="s">
        <v>1098</v>
      </c>
      <c r="I1059" s="22" t="s">
        <v>2852</v>
      </c>
    </row>
    <row r="1060" spans="8:9">
      <c r="H1060" s="20" t="s">
        <v>1099</v>
      </c>
      <c r="I1060" s="21" t="s">
        <v>2852</v>
      </c>
    </row>
    <row r="1061" spans="8:9">
      <c r="H1061" s="20" t="s">
        <v>1100</v>
      </c>
      <c r="I1061" s="22" t="s">
        <v>2849</v>
      </c>
    </row>
    <row r="1062" spans="8:9">
      <c r="H1062" s="20" t="s">
        <v>1101</v>
      </c>
      <c r="I1062" s="22" t="s">
        <v>2848</v>
      </c>
    </row>
    <row r="1063" spans="8:9">
      <c r="H1063" s="20" t="s">
        <v>1102</v>
      </c>
      <c r="I1063" s="22" t="s">
        <v>2852</v>
      </c>
    </row>
    <row r="1064" spans="8:9">
      <c r="H1064" s="20" t="s">
        <v>1103</v>
      </c>
      <c r="I1064" s="21" t="s">
        <v>2852</v>
      </c>
    </row>
    <row r="1065" spans="8:9">
      <c r="H1065" s="20" t="s">
        <v>1104</v>
      </c>
      <c r="I1065" s="21" t="s">
        <v>2852</v>
      </c>
    </row>
    <row r="1066" spans="8:9">
      <c r="H1066" s="20" t="s">
        <v>1105</v>
      </c>
      <c r="I1066" s="21" t="s">
        <v>2852</v>
      </c>
    </row>
    <row r="1067" spans="8:9">
      <c r="H1067" s="20" t="s">
        <v>1106</v>
      </c>
      <c r="I1067" s="22" t="s">
        <v>2852</v>
      </c>
    </row>
    <row r="1068" spans="8:9">
      <c r="H1068" s="20" t="s">
        <v>1107</v>
      </c>
      <c r="I1068" s="22" t="s">
        <v>2849</v>
      </c>
    </row>
    <row r="1069" spans="8:9">
      <c r="H1069" s="20" t="s">
        <v>1108</v>
      </c>
      <c r="I1069" s="22" t="s">
        <v>2849</v>
      </c>
    </row>
    <row r="1070" spans="8:9">
      <c r="H1070" s="20" t="s">
        <v>1109</v>
      </c>
      <c r="I1070" s="22" t="s">
        <v>2849</v>
      </c>
    </row>
    <row r="1071" spans="8:9">
      <c r="H1071" s="12" t="s">
        <v>1110</v>
      </c>
      <c r="I1071" s="265" t="s">
        <v>2849</v>
      </c>
    </row>
    <row r="1072" spans="8:9">
      <c r="H1072" s="20" t="s">
        <v>1111</v>
      </c>
      <c r="I1072" s="22" t="s">
        <v>2848</v>
      </c>
    </row>
    <row r="1073" spans="8:9">
      <c r="H1073" s="20" t="s">
        <v>1112</v>
      </c>
      <c r="I1073" s="22" t="s">
        <v>2848</v>
      </c>
    </row>
    <row r="1074" spans="8:9">
      <c r="H1074" s="20" t="s">
        <v>1113</v>
      </c>
      <c r="I1074" s="21" t="s">
        <v>2848</v>
      </c>
    </row>
    <row r="1075" spans="8:9">
      <c r="H1075" s="20" t="s">
        <v>1114</v>
      </c>
      <c r="I1075" s="22" t="s">
        <v>2848</v>
      </c>
    </row>
    <row r="1076" spans="8:9">
      <c r="H1076" s="20" t="s">
        <v>1115</v>
      </c>
      <c r="I1076" s="22" t="s">
        <v>2848</v>
      </c>
    </row>
    <row r="1077" spans="8:9">
      <c r="H1077" s="20" t="s">
        <v>1116</v>
      </c>
      <c r="I1077" s="21" t="s">
        <v>2848</v>
      </c>
    </row>
    <row r="1078" spans="8:9">
      <c r="H1078" s="20" t="s">
        <v>1117</v>
      </c>
      <c r="I1078" s="22" t="s">
        <v>2848</v>
      </c>
    </row>
    <row r="1079" spans="8:9">
      <c r="H1079" s="20" t="s">
        <v>1118</v>
      </c>
      <c r="I1079" s="21" t="s">
        <v>2848</v>
      </c>
    </row>
    <row r="1080" spans="8:9">
      <c r="H1080" s="20" t="s">
        <v>1119</v>
      </c>
      <c r="I1080" s="22" t="s">
        <v>2848</v>
      </c>
    </row>
    <row r="1081" spans="8:9">
      <c r="H1081" s="20" t="s">
        <v>1120</v>
      </c>
      <c r="I1081" s="22" t="s">
        <v>2849</v>
      </c>
    </row>
    <row r="1082" spans="8:9">
      <c r="H1082" s="20" t="s">
        <v>1121</v>
      </c>
      <c r="I1082" s="22" t="s">
        <v>2848</v>
      </c>
    </row>
    <row r="1083" spans="8:9">
      <c r="H1083" s="20" t="s">
        <v>1122</v>
      </c>
      <c r="I1083" s="22" t="s">
        <v>2848</v>
      </c>
    </row>
    <row r="1084" spans="8:9">
      <c r="H1084" s="20" t="s">
        <v>1123</v>
      </c>
      <c r="I1084" s="22" t="s">
        <v>2848</v>
      </c>
    </row>
    <row r="1085" spans="8:9">
      <c r="H1085" s="20" t="s">
        <v>1124</v>
      </c>
      <c r="I1085" s="21" t="s">
        <v>2850</v>
      </c>
    </row>
    <row r="1086" spans="8:9">
      <c r="H1086" s="20" t="s">
        <v>1125</v>
      </c>
      <c r="I1086" s="22" t="s">
        <v>2848</v>
      </c>
    </row>
    <row r="1087" spans="8:9">
      <c r="H1087" s="20" t="s">
        <v>1126</v>
      </c>
      <c r="I1087" s="22" t="s">
        <v>2848</v>
      </c>
    </row>
    <row r="1088" spans="8:9">
      <c r="H1088" s="20" t="s">
        <v>1127</v>
      </c>
      <c r="I1088" s="22" t="s">
        <v>2848</v>
      </c>
    </row>
    <row r="1089" spans="8:9">
      <c r="H1089" s="20" t="s">
        <v>1128</v>
      </c>
      <c r="I1089" s="22" t="s">
        <v>2848</v>
      </c>
    </row>
    <row r="1090" spans="8:9">
      <c r="H1090" s="20" t="s">
        <v>1129</v>
      </c>
      <c r="I1090" s="22" t="s">
        <v>2849</v>
      </c>
    </row>
    <row r="1091" spans="8:9">
      <c r="H1091" s="20" t="s">
        <v>1130</v>
      </c>
      <c r="I1091" s="22" t="s">
        <v>2849</v>
      </c>
    </row>
    <row r="1092" spans="8:9">
      <c r="H1092" s="20" t="s">
        <v>1131</v>
      </c>
      <c r="I1092" s="22" t="s">
        <v>2848</v>
      </c>
    </row>
    <row r="1093" spans="8:9">
      <c r="H1093" s="20" t="s">
        <v>1132</v>
      </c>
      <c r="I1093" s="22" t="s">
        <v>2848</v>
      </c>
    </row>
    <row r="1094" spans="8:9">
      <c r="H1094" s="20" t="s">
        <v>1133</v>
      </c>
      <c r="I1094" s="21" t="s">
        <v>2849</v>
      </c>
    </row>
    <row r="1095" spans="8:9">
      <c r="H1095" s="20" t="s">
        <v>1134</v>
      </c>
      <c r="I1095" s="21" t="s">
        <v>2849</v>
      </c>
    </row>
    <row r="1096" spans="8:9">
      <c r="H1096" s="20" t="s">
        <v>1135</v>
      </c>
      <c r="I1096" s="21" t="s">
        <v>2850</v>
      </c>
    </row>
    <row r="1097" spans="8:9">
      <c r="H1097" s="20" t="s">
        <v>1136</v>
      </c>
      <c r="I1097" s="21" t="s">
        <v>2849</v>
      </c>
    </row>
    <row r="1098" spans="8:9">
      <c r="H1098" s="20" t="s">
        <v>1137</v>
      </c>
      <c r="I1098" s="22" t="s">
        <v>2850</v>
      </c>
    </row>
    <row r="1099" spans="8:9">
      <c r="H1099" s="20" t="s">
        <v>1138</v>
      </c>
      <c r="I1099" s="21" t="s">
        <v>2850</v>
      </c>
    </row>
    <row r="1100" spans="8:9">
      <c r="H1100" s="20" t="s">
        <v>1139</v>
      </c>
      <c r="I1100" s="22" t="s">
        <v>2848</v>
      </c>
    </row>
    <row r="1101" spans="8:9">
      <c r="H1101" s="20" t="s">
        <v>1140</v>
      </c>
      <c r="I1101" s="22" t="s">
        <v>2849</v>
      </c>
    </row>
    <row r="1102" spans="8:9">
      <c r="H1102" s="20" t="s">
        <v>1141</v>
      </c>
      <c r="I1102" s="22" t="s">
        <v>2848</v>
      </c>
    </row>
    <row r="1103" spans="8:9">
      <c r="H1103" s="20" t="s">
        <v>1142</v>
      </c>
      <c r="I1103" s="22" t="s">
        <v>2849</v>
      </c>
    </row>
    <row r="1104" spans="8:9">
      <c r="H1104" s="20" t="s">
        <v>1143</v>
      </c>
      <c r="I1104" s="22" t="s">
        <v>2849</v>
      </c>
    </row>
    <row r="1105" spans="8:9">
      <c r="H1105" s="20" t="s">
        <v>1144</v>
      </c>
      <c r="I1105" s="22" t="s">
        <v>2849</v>
      </c>
    </row>
    <row r="1106" spans="8:9">
      <c r="H1106" s="20" t="s">
        <v>1145</v>
      </c>
      <c r="I1106" s="22" t="s">
        <v>2849</v>
      </c>
    </row>
    <row r="1107" spans="8:9">
      <c r="H1107" s="20" t="s">
        <v>1146</v>
      </c>
      <c r="I1107" s="22" t="s">
        <v>2849</v>
      </c>
    </row>
    <row r="1108" spans="8:9">
      <c r="H1108" s="20" t="s">
        <v>1147</v>
      </c>
      <c r="I1108" s="22" t="s">
        <v>2848</v>
      </c>
    </row>
    <row r="1109" spans="8:9">
      <c r="H1109" s="20" t="s">
        <v>1148</v>
      </c>
      <c r="I1109" s="22" t="s">
        <v>2848</v>
      </c>
    </row>
    <row r="1110" spans="8:9">
      <c r="H1110" s="20" t="s">
        <v>1149</v>
      </c>
      <c r="I1110" s="22" t="s">
        <v>2848</v>
      </c>
    </row>
    <row r="1111" spans="8:9">
      <c r="H1111" s="20" t="s">
        <v>1150</v>
      </c>
      <c r="I1111" s="21" t="s">
        <v>2852</v>
      </c>
    </row>
    <row r="1112" spans="8:9">
      <c r="H1112" s="20" t="s">
        <v>1151</v>
      </c>
      <c r="I1112" s="21" t="s">
        <v>2850</v>
      </c>
    </row>
    <row r="1113" spans="8:9">
      <c r="H1113" s="20" t="s">
        <v>1152</v>
      </c>
      <c r="I1113" s="22" t="s">
        <v>2849</v>
      </c>
    </row>
    <row r="1114" spans="8:9">
      <c r="H1114" s="20" t="s">
        <v>1153</v>
      </c>
      <c r="I1114" s="22" t="s">
        <v>2849</v>
      </c>
    </row>
    <row r="1115" spans="8:9">
      <c r="H1115" s="20" t="s">
        <v>1154</v>
      </c>
      <c r="I1115" s="21" t="s">
        <v>2852</v>
      </c>
    </row>
    <row r="1116" spans="8:9">
      <c r="H1116" s="20" t="s">
        <v>1155</v>
      </c>
      <c r="I1116" s="22" t="s">
        <v>2849</v>
      </c>
    </row>
    <row r="1117" spans="8:9">
      <c r="H1117" s="12" t="s">
        <v>1156</v>
      </c>
      <c r="I1117" s="22" t="s">
        <v>2849</v>
      </c>
    </row>
    <row r="1118" spans="8:9">
      <c r="H1118" s="20" t="s">
        <v>1157</v>
      </c>
      <c r="I1118" s="21" t="s">
        <v>2850</v>
      </c>
    </row>
    <row r="1119" spans="8:9">
      <c r="H1119" s="20" t="s">
        <v>1158</v>
      </c>
      <c r="I1119" s="22" t="s">
        <v>2848</v>
      </c>
    </row>
    <row r="1120" spans="8:9">
      <c r="H1120" s="20" t="s">
        <v>1159</v>
      </c>
      <c r="I1120" s="22" t="s">
        <v>2848</v>
      </c>
    </row>
    <row r="1121" spans="8:9">
      <c r="H1121" s="20" t="s">
        <v>1160</v>
      </c>
      <c r="I1121" s="22" t="s">
        <v>2849</v>
      </c>
    </row>
    <row r="1122" spans="8:9">
      <c r="H1122" s="20" t="s">
        <v>1161</v>
      </c>
      <c r="I1122" s="22" t="s">
        <v>2850</v>
      </c>
    </row>
    <row r="1123" spans="8:9">
      <c r="H1123" s="20" t="s">
        <v>1162</v>
      </c>
      <c r="I1123" s="22" t="s">
        <v>2850</v>
      </c>
    </row>
    <row r="1124" spans="8:9">
      <c r="H1124" s="20" t="s">
        <v>1163</v>
      </c>
      <c r="I1124" s="21" t="s">
        <v>2849</v>
      </c>
    </row>
    <row r="1125" spans="8:9">
      <c r="H1125" s="20" t="s">
        <v>1164</v>
      </c>
      <c r="I1125" s="22" t="s">
        <v>2850</v>
      </c>
    </row>
    <row r="1126" spans="8:9">
      <c r="H1126" s="20" t="s">
        <v>1165</v>
      </c>
      <c r="I1126" s="21" t="s">
        <v>2850</v>
      </c>
    </row>
    <row r="1127" spans="8:9">
      <c r="H1127" s="20" t="s">
        <v>1166</v>
      </c>
      <c r="I1127" s="22" t="s">
        <v>2850</v>
      </c>
    </row>
    <row r="1128" spans="8:9">
      <c r="H1128" s="20" t="s">
        <v>1167</v>
      </c>
      <c r="I1128" s="22" t="s">
        <v>2850</v>
      </c>
    </row>
    <row r="1129" spans="8:9">
      <c r="H1129" s="20" t="s">
        <v>1168</v>
      </c>
      <c r="I1129" s="22" t="s">
        <v>2849</v>
      </c>
    </row>
    <row r="1130" spans="8:9">
      <c r="H1130" s="20" t="s">
        <v>1169</v>
      </c>
      <c r="I1130" s="22" t="s">
        <v>2849</v>
      </c>
    </row>
    <row r="1131" spans="8:9">
      <c r="H1131" s="20" t="s">
        <v>1170</v>
      </c>
      <c r="I1131" s="22" t="s">
        <v>2848</v>
      </c>
    </row>
    <row r="1132" spans="8:9">
      <c r="H1132" s="20" t="s">
        <v>1171</v>
      </c>
      <c r="I1132" s="22" t="s">
        <v>2848</v>
      </c>
    </row>
    <row r="1133" spans="8:9">
      <c r="H1133" s="20" t="s">
        <v>1172</v>
      </c>
      <c r="I1133" s="22" t="s">
        <v>2848</v>
      </c>
    </row>
    <row r="1134" spans="8:9">
      <c r="H1134" s="20" t="s">
        <v>1173</v>
      </c>
      <c r="I1134" s="22" t="s">
        <v>2848</v>
      </c>
    </row>
    <row r="1135" spans="8:9">
      <c r="H1135" s="20" t="s">
        <v>1174</v>
      </c>
      <c r="I1135" s="22" t="s">
        <v>2848</v>
      </c>
    </row>
    <row r="1136" spans="8:9">
      <c r="H1136" s="20" t="s">
        <v>1175</v>
      </c>
      <c r="I1136" s="22" t="s">
        <v>2848</v>
      </c>
    </row>
    <row r="1137" spans="8:9">
      <c r="H1137" s="20" t="s">
        <v>1176</v>
      </c>
      <c r="I1137" s="22" t="s">
        <v>2848</v>
      </c>
    </row>
    <row r="1138" spans="8:9">
      <c r="H1138" s="20" t="s">
        <v>1177</v>
      </c>
      <c r="I1138" s="22" t="s">
        <v>2848</v>
      </c>
    </row>
    <row r="1139" spans="8:9">
      <c r="H1139" s="20" t="s">
        <v>1178</v>
      </c>
      <c r="I1139" s="22" t="s">
        <v>2849</v>
      </c>
    </row>
    <row r="1140" spans="8:9">
      <c r="H1140" s="20" t="s">
        <v>1179</v>
      </c>
      <c r="I1140" s="22" t="s">
        <v>2849</v>
      </c>
    </row>
    <row r="1141" spans="8:9">
      <c r="H1141" s="20" t="s">
        <v>1180</v>
      </c>
      <c r="I1141" s="22" t="s">
        <v>2850</v>
      </c>
    </row>
    <row r="1142" spans="8:9">
      <c r="H1142" s="20" t="s">
        <v>1181</v>
      </c>
      <c r="I1142" s="22" t="s">
        <v>2850</v>
      </c>
    </row>
    <row r="1143" spans="8:9">
      <c r="H1143" s="20" t="s">
        <v>1182</v>
      </c>
      <c r="I1143" s="22" t="s">
        <v>2850</v>
      </c>
    </row>
    <row r="1144" spans="8:9">
      <c r="H1144" s="20" t="s">
        <v>1183</v>
      </c>
      <c r="I1144" s="21" t="s">
        <v>2850</v>
      </c>
    </row>
    <row r="1145" spans="8:9">
      <c r="H1145" s="20" t="s">
        <v>1184</v>
      </c>
      <c r="I1145" s="22" t="s">
        <v>2849</v>
      </c>
    </row>
    <row r="1146" spans="8:9">
      <c r="H1146" s="20" t="s">
        <v>1185</v>
      </c>
      <c r="I1146" s="22" t="s">
        <v>2849</v>
      </c>
    </row>
    <row r="1147" spans="8:9">
      <c r="H1147" s="20" t="s">
        <v>1186</v>
      </c>
      <c r="I1147" s="22" t="s">
        <v>2848</v>
      </c>
    </row>
    <row r="1148" spans="8:9">
      <c r="H1148" s="20" t="s">
        <v>1187</v>
      </c>
      <c r="I1148" s="21" t="s">
        <v>2850</v>
      </c>
    </row>
    <row r="1149" spans="8:9">
      <c r="H1149" s="20" t="s">
        <v>1188</v>
      </c>
      <c r="I1149" s="22" t="s">
        <v>2848</v>
      </c>
    </row>
    <row r="1150" spans="8:9">
      <c r="H1150" s="20" t="s">
        <v>1189</v>
      </c>
      <c r="I1150" s="22" t="s">
        <v>2848</v>
      </c>
    </row>
    <row r="1151" spans="8:9">
      <c r="H1151" s="20" t="s">
        <v>1190</v>
      </c>
      <c r="I1151" s="21" t="s">
        <v>2850</v>
      </c>
    </row>
    <row r="1152" spans="8:9">
      <c r="H1152" s="20" t="s">
        <v>1191</v>
      </c>
      <c r="I1152" s="22" t="s">
        <v>2848</v>
      </c>
    </row>
    <row r="1153" spans="8:9">
      <c r="H1153" s="20" t="s">
        <v>1192</v>
      </c>
      <c r="I1153" s="21" t="s">
        <v>2850</v>
      </c>
    </row>
    <row r="1154" spans="8:9">
      <c r="H1154" s="20" t="s">
        <v>1193</v>
      </c>
      <c r="I1154" s="22" t="s">
        <v>2850</v>
      </c>
    </row>
    <row r="1155" spans="8:9">
      <c r="H1155" s="20" t="s">
        <v>1194</v>
      </c>
      <c r="I1155" s="22" t="s">
        <v>2849</v>
      </c>
    </row>
    <row r="1156" spans="8:9">
      <c r="H1156" s="20" t="s">
        <v>1195</v>
      </c>
      <c r="I1156" s="22" t="s">
        <v>2849</v>
      </c>
    </row>
    <row r="1157" spans="8:9">
      <c r="H1157" s="20" t="s">
        <v>1196</v>
      </c>
      <c r="I1157" s="21" t="s">
        <v>2850</v>
      </c>
    </row>
    <row r="1158" spans="8:9">
      <c r="H1158" s="20" t="s">
        <v>1197</v>
      </c>
      <c r="I1158" s="21" t="s">
        <v>2849</v>
      </c>
    </row>
    <row r="1159" spans="8:9">
      <c r="H1159" s="20" t="s">
        <v>1198</v>
      </c>
      <c r="I1159" s="22" t="s">
        <v>2850</v>
      </c>
    </row>
    <row r="1160" spans="8:9">
      <c r="H1160" s="20" t="s">
        <v>1199</v>
      </c>
      <c r="I1160" s="22" t="s">
        <v>2850</v>
      </c>
    </row>
    <row r="1161" spans="8:9">
      <c r="H1161" s="20" t="s">
        <v>1200</v>
      </c>
      <c r="I1161" s="22" t="s">
        <v>2850</v>
      </c>
    </row>
    <row r="1162" spans="8:9">
      <c r="H1162" s="20" t="s">
        <v>1201</v>
      </c>
      <c r="I1162" s="21" t="s">
        <v>2850</v>
      </c>
    </row>
    <row r="1163" spans="8:9">
      <c r="H1163" s="20" t="s">
        <v>1202</v>
      </c>
      <c r="I1163" s="22" t="s">
        <v>2850</v>
      </c>
    </row>
    <row r="1164" spans="8:9">
      <c r="H1164" s="20" t="s">
        <v>1203</v>
      </c>
      <c r="I1164" s="21" t="s">
        <v>2850</v>
      </c>
    </row>
    <row r="1165" spans="8:9">
      <c r="H1165" s="20" t="s">
        <v>1204</v>
      </c>
      <c r="I1165" s="21" t="s">
        <v>2850</v>
      </c>
    </row>
    <row r="1166" spans="8:9">
      <c r="H1166" s="20" t="s">
        <v>1205</v>
      </c>
      <c r="I1166" s="22" t="s">
        <v>2849</v>
      </c>
    </row>
    <row r="1167" spans="8:9">
      <c r="H1167" s="20" t="s">
        <v>1206</v>
      </c>
      <c r="I1167" s="22" t="s">
        <v>2849</v>
      </c>
    </row>
    <row r="1168" spans="8:9">
      <c r="H1168" s="20" t="s">
        <v>1207</v>
      </c>
      <c r="I1168" s="21" t="s">
        <v>2850</v>
      </c>
    </row>
    <row r="1169" spans="8:9">
      <c r="H1169" s="20" t="s">
        <v>1208</v>
      </c>
      <c r="I1169" s="22" t="s">
        <v>2848</v>
      </c>
    </row>
    <row r="1170" spans="8:9">
      <c r="H1170" s="20" t="s">
        <v>1209</v>
      </c>
      <c r="I1170" s="21" t="s">
        <v>2849</v>
      </c>
    </row>
    <row r="1171" spans="8:9">
      <c r="H1171" s="20" t="s">
        <v>1210</v>
      </c>
      <c r="I1171" s="21" t="s">
        <v>2850</v>
      </c>
    </row>
    <row r="1172" spans="8:9">
      <c r="H1172" s="20" t="s">
        <v>1211</v>
      </c>
      <c r="I1172" s="22" t="s">
        <v>2848</v>
      </c>
    </row>
    <row r="1173" spans="8:9">
      <c r="H1173" s="20" t="s">
        <v>1212</v>
      </c>
      <c r="I1173" s="22" t="s">
        <v>2848</v>
      </c>
    </row>
    <row r="1174" spans="8:9">
      <c r="H1174" s="20" t="s">
        <v>1213</v>
      </c>
      <c r="I1174" s="22" t="s">
        <v>2848</v>
      </c>
    </row>
    <row r="1175" spans="8:9">
      <c r="H1175" s="20" t="s">
        <v>1214</v>
      </c>
      <c r="I1175" s="21" t="s">
        <v>2850</v>
      </c>
    </row>
    <row r="1176" spans="8:9">
      <c r="H1176" s="20" t="s">
        <v>1215</v>
      </c>
      <c r="I1176" s="22" t="s">
        <v>2848</v>
      </c>
    </row>
    <row r="1177" spans="8:9">
      <c r="H1177" s="20" t="s">
        <v>1216</v>
      </c>
      <c r="I1177" s="22" t="s">
        <v>2849</v>
      </c>
    </row>
    <row r="1178" spans="8:9">
      <c r="H1178" s="20" t="s">
        <v>1217</v>
      </c>
      <c r="I1178" s="22" t="s">
        <v>2848</v>
      </c>
    </row>
    <row r="1179" spans="8:9">
      <c r="H1179" s="20" t="s">
        <v>1218</v>
      </c>
      <c r="I1179" s="21" t="s">
        <v>2849</v>
      </c>
    </row>
    <row r="1180" spans="8:9">
      <c r="H1180" s="20" t="s">
        <v>1219</v>
      </c>
      <c r="I1180" s="22" t="s">
        <v>2848</v>
      </c>
    </row>
    <row r="1181" spans="8:9">
      <c r="H1181" s="20" t="s">
        <v>1220</v>
      </c>
      <c r="I1181" s="21" t="s">
        <v>2849</v>
      </c>
    </row>
    <row r="1182" spans="8:9">
      <c r="H1182" s="20" t="s">
        <v>1221</v>
      </c>
      <c r="I1182" s="21" t="s">
        <v>2850</v>
      </c>
    </row>
    <row r="1183" spans="8:9">
      <c r="H1183" s="20" t="s">
        <v>1222</v>
      </c>
      <c r="I1183" s="22" t="s">
        <v>2849</v>
      </c>
    </row>
    <row r="1184" spans="8:9">
      <c r="H1184" s="20" t="s">
        <v>1223</v>
      </c>
      <c r="I1184" s="22" t="s">
        <v>2849</v>
      </c>
    </row>
    <row r="1185" spans="8:9">
      <c r="H1185" s="20" t="s">
        <v>1224</v>
      </c>
      <c r="I1185" s="22" t="s">
        <v>2849</v>
      </c>
    </row>
    <row r="1186" spans="8:9">
      <c r="H1186" s="20" t="s">
        <v>1225</v>
      </c>
      <c r="I1186" s="21" t="s">
        <v>2850</v>
      </c>
    </row>
    <row r="1187" spans="8:9">
      <c r="H1187" s="20" t="s">
        <v>1226</v>
      </c>
      <c r="I1187" s="22" t="s">
        <v>2848</v>
      </c>
    </row>
    <row r="1188" spans="8:9">
      <c r="H1188" s="20" t="s">
        <v>1227</v>
      </c>
      <c r="I1188" s="22" t="s">
        <v>2849</v>
      </c>
    </row>
    <row r="1189" spans="8:9">
      <c r="H1189" s="20" t="s">
        <v>1228</v>
      </c>
      <c r="I1189" s="21" t="s">
        <v>2852</v>
      </c>
    </row>
    <row r="1190" spans="8:9">
      <c r="H1190" s="20" t="s">
        <v>1229</v>
      </c>
      <c r="I1190" s="22" t="s">
        <v>2849</v>
      </c>
    </row>
    <row r="1191" spans="8:9">
      <c r="H1191" s="20" t="s">
        <v>1230</v>
      </c>
      <c r="I1191" s="22" t="s">
        <v>2849</v>
      </c>
    </row>
    <row r="1192" spans="8:9">
      <c r="H1192" s="20" t="s">
        <v>1231</v>
      </c>
      <c r="I1192" s="21" t="s">
        <v>2848</v>
      </c>
    </row>
    <row r="1193" spans="8:9">
      <c r="H1193" s="20" t="s">
        <v>1232</v>
      </c>
      <c r="I1193" s="22" t="s">
        <v>2848</v>
      </c>
    </row>
    <row r="1194" spans="8:9">
      <c r="H1194" s="20" t="s">
        <v>1233</v>
      </c>
      <c r="I1194" s="22" t="s">
        <v>2849</v>
      </c>
    </row>
    <row r="1195" spans="8:9">
      <c r="H1195" s="20" t="s">
        <v>1234</v>
      </c>
      <c r="I1195" s="21" t="s">
        <v>2850</v>
      </c>
    </row>
    <row r="1196" spans="8:9">
      <c r="H1196" s="20" t="s">
        <v>1235</v>
      </c>
      <c r="I1196" s="21" t="s">
        <v>2852</v>
      </c>
    </row>
    <row r="1197" spans="8:9">
      <c r="H1197" s="20" t="s">
        <v>1236</v>
      </c>
      <c r="I1197" s="22" t="s">
        <v>2848</v>
      </c>
    </row>
    <row r="1198" spans="8:9">
      <c r="H1198" s="20" t="s">
        <v>1237</v>
      </c>
      <c r="I1198" s="21" t="s">
        <v>2852</v>
      </c>
    </row>
    <row r="1199" spans="8:9">
      <c r="H1199" s="20" t="s">
        <v>1238</v>
      </c>
      <c r="I1199" s="21" t="s">
        <v>2852</v>
      </c>
    </row>
    <row r="1200" spans="8:9">
      <c r="H1200" s="20" t="s">
        <v>1239</v>
      </c>
      <c r="I1200" s="21" t="s">
        <v>2852</v>
      </c>
    </row>
    <row r="1201" spans="8:9">
      <c r="H1201" s="20" t="s">
        <v>1240</v>
      </c>
      <c r="I1201" s="22" t="s">
        <v>2849</v>
      </c>
    </row>
    <row r="1202" spans="8:9">
      <c r="H1202" s="20" t="s">
        <v>1241</v>
      </c>
      <c r="I1202" s="22" t="s">
        <v>2849</v>
      </c>
    </row>
    <row r="1203" spans="8:9">
      <c r="H1203" s="20" t="s">
        <v>1242</v>
      </c>
      <c r="I1203" s="21" t="s">
        <v>2849</v>
      </c>
    </row>
    <row r="1204" spans="8:9">
      <c r="H1204" s="20" t="s">
        <v>1243</v>
      </c>
      <c r="I1204" s="22" t="s">
        <v>2849</v>
      </c>
    </row>
    <row r="1205" spans="8:9">
      <c r="H1205" s="20" t="s">
        <v>1244</v>
      </c>
      <c r="I1205" s="22" t="s">
        <v>2848</v>
      </c>
    </row>
    <row r="1206" spans="8:9">
      <c r="H1206" s="20" t="s">
        <v>1245</v>
      </c>
      <c r="I1206" s="22" t="s">
        <v>2848</v>
      </c>
    </row>
    <row r="1207" spans="8:9">
      <c r="H1207" s="20" t="s">
        <v>1246</v>
      </c>
      <c r="I1207" s="22" t="s">
        <v>2848</v>
      </c>
    </row>
    <row r="1208" spans="8:9">
      <c r="H1208" s="20" t="s">
        <v>1247</v>
      </c>
      <c r="I1208" s="22" t="s">
        <v>2849</v>
      </c>
    </row>
    <row r="1209" spans="8:9">
      <c r="H1209" s="20" t="s">
        <v>1248</v>
      </c>
      <c r="I1209" s="22" t="s">
        <v>2848</v>
      </c>
    </row>
    <row r="1210" spans="8:9">
      <c r="H1210" s="20" t="s">
        <v>1249</v>
      </c>
      <c r="I1210" s="22" t="s">
        <v>2848</v>
      </c>
    </row>
    <row r="1211" spans="8:9">
      <c r="H1211" s="20" t="s">
        <v>1250</v>
      </c>
      <c r="I1211" s="21" t="s">
        <v>2852</v>
      </c>
    </row>
    <row r="1212" spans="8:9">
      <c r="H1212" s="20" t="s">
        <v>1251</v>
      </c>
      <c r="I1212" s="22" t="s">
        <v>2850</v>
      </c>
    </row>
    <row r="1213" spans="8:9">
      <c r="H1213" s="20" t="s">
        <v>1252</v>
      </c>
      <c r="I1213" s="22" t="s">
        <v>2849</v>
      </c>
    </row>
    <row r="1214" spans="8:9">
      <c r="H1214" s="20" t="s">
        <v>1253</v>
      </c>
      <c r="I1214" s="21" t="s">
        <v>2852</v>
      </c>
    </row>
    <row r="1215" spans="8:9">
      <c r="H1215" s="20" t="s">
        <v>1254</v>
      </c>
      <c r="I1215" s="21" t="s">
        <v>2850</v>
      </c>
    </row>
    <row r="1216" spans="8:9">
      <c r="H1216" s="20" t="s">
        <v>1255</v>
      </c>
      <c r="I1216" s="21" t="s">
        <v>2850</v>
      </c>
    </row>
    <row r="1217" spans="8:9">
      <c r="H1217" s="20" t="s">
        <v>1256</v>
      </c>
      <c r="I1217" s="21" t="s">
        <v>2850</v>
      </c>
    </row>
    <row r="1218" spans="8:9">
      <c r="H1218" s="20" t="s">
        <v>1257</v>
      </c>
      <c r="I1218" s="22" t="s">
        <v>2852</v>
      </c>
    </row>
    <row r="1219" spans="8:9">
      <c r="H1219" s="20" t="s">
        <v>1258</v>
      </c>
      <c r="I1219" s="22" t="s">
        <v>2852</v>
      </c>
    </row>
    <row r="1220" spans="8:9">
      <c r="H1220" s="20" t="s">
        <v>1259</v>
      </c>
      <c r="I1220" s="21" t="s">
        <v>2852</v>
      </c>
    </row>
    <row r="1221" spans="8:9">
      <c r="H1221" s="20" t="s">
        <v>1260</v>
      </c>
      <c r="I1221" s="21" t="s">
        <v>2852</v>
      </c>
    </row>
    <row r="1222" spans="8:9">
      <c r="H1222" s="20" t="s">
        <v>1261</v>
      </c>
      <c r="I1222" s="22" t="s">
        <v>2852</v>
      </c>
    </row>
    <row r="1223" spans="8:9">
      <c r="H1223" s="20" t="s">
        <v>1262</v>
      </c>
      <c r="I1223" s="22" t="s">
        <v>2852</v>
      </c>
    </row>
    <row r="1224" spans="8:9">
      <c r="H1224" s="20" t="s">
        <v>1263</v>
      </c>
      <c r="I1224" s="22" t="s">
        <v>2852</v>
      </c>
    </row>
    <row r="1225" spans="8:9">
      <c r="H1225" s="20" t="s">
        <v>1264</v>
      </c>
      <c r="I1225" s="21" t="s">
        <v>2852</v>
      </c>
    </row>
    <row r="1226" spans="8:9">
      <c r="H1226" s="20" t="s">
        <v>1265</v>
      </c>
      <c r="I1226" s="22" t="s">
        <v>2848</v>
      </c>
    </row>
    <row r="1227" spans="8:9">
      <c r="H1227" s="20" t="s">
        <v>1266</v>
      </c>
      <c r="I1227" s="21" t="s">
        <v>2852</v>
      </c>
    </row>
    <row r="1228" spans="8:9">
      <c r="H1228" s="20" t="s">
        <v>1267</v>
      </c>
      <c r="I1228" s="22" t="s">
        <v>2852</v>
      </c>
    </row>
    <row r="1229" spans="8:9">
      <c r="H1229" s="20" t="s">
        <v>1268</v>
      </c>
      <c r="I1229" s="22" t="s">
        <v>2852</v>
      </c>
    </row>
    <row r="1230" spans="8:9">
      <c r="H1230" s="20" t="s">
        <v>1269</v>
      </c>
      <c r="I1230" s="22" t="s">
        <v>2852</v>
      </c>
    </row>
    <row r="1231" spans="8:9">
      <c r="H1231" s="20" t="s">
        <v>1270</v>
      </c>
      <c r="I1231" s="22" t="s">
        <v>2852</v>
      </c>
    </row>
    <row r="1232" spans="8:9">
      <c r="H1232" s="20" t="s">
        <v>1271</v>
      </c>
      <c r="I1232" s="22" t="s">
        <v>2852</v>
      </c>
    </row>
    <row r="1233" spans="8:9">
      <c r="H1233" s="20" t="s">
        <v>1272</v>
      </c>
      <c r="I1233" s="21" t="s">
        <v>2852</v>
      </c>
    </row>
    <row r="1234" spans="8:9">
      <c r="H1234" s="20" t="s">
        <v>1273</v>
      </c>
      <c r="I1234" s="22" t="s">
        <v>2852</v>
      </c>
    </row>
    <row r="1235" spans="8:9">
      <c r="H1235" s="20" t="s">
        <v>1274</v>
      </c>
      <c r="I1235" s="22" t="s">
        <v>2848</v>
      </c>
    </row>
    <row r="1236" spans="8:9">
      <c r="H1236" s="20" t="s">
        <v>1275</v>
      </c>
      <c r="I1236" s="22" t="s">
        <v>2849</v>
      </c>
    </row>
    <row r="1237" spans="8:9">
      <c r="H1237" s="20" t="s">
        <v>1276</v>
      </c>
      <c r="I1237" s="21" t="s">
        <v>2850</v>
      </c>
    </row>
    <row r="1238" spans="8:9">
      <c r="H1238" s="20" t="s">
        <v>1277</v>
      </c>
      <c r="I1238" s="22" t="s">
        <v>2850</v>
      </c>
    </row>
    <row r="1239" spans="8:9">
      <c r="H1239" s="20" t="s">
        <v>1278</v>
      </c>
      <c r="I1239" s="21" t="s">
        <v>2852</v>
      </c>
    </row>
    <row r="1240" spans="8:9">
      <c r="H1240" s="20" t="s">
        <v>1279</v>
      </c>
      <c r="I1240" s="21" t="s">
        <v>2850</v>
      </c>
    </row>
    <row r="1241" spans="8:9">
      <c r="H1241" s="20" t="s">
        <v>1280</v>
      </c>
      <c r="I1241" s="22" t="s">
        <v>2850</v>
      </c>
    </row>
    <row r="1242" spans="8:9">
      <c r="H1242" s="20" t="s">
        <v>1281</v>
      </c>
      <c r="I1242" s="21" t="s">
        <v>2848</v>
      </c>
    </row>
    <row r="1243" spans="8:9">
      <c r="H1243" s="20" t="s">
        <v>1282</v>
      </c>
      <c r="I1243" s="21" t="s">
        <v>2848</v>
      </c>
    </row>
    <row r="1244" spans="8:9">
      <c r="H1244" s="20" t="s">
        <v>1283</v>
      </c>
      <c r="I1244" s="21" t="s">
        <v>2852</v>
      </c>
    </row>
    <row r="1245" spans="8:9">
      <c r="H1245" s="20" t="s">
        <v>1284</v>
      </c>
      <c r="I1245" s="21" t="s">
        <v>2852</v>
      </c>
    </row>
    <row r="1246" spans="8:9">
      <c r="H1246" s="20" t="s">
        <v>1285</v>
      </c>
      <c r="I1246" s="22" t="s">
        <v>2850</v>
      </c>
    </row>
    <row r="1247" spans="8:9">
      <c r="H1247" s="20" t="s">
        <v>1286</v>
      </c>
      <c r="I1247" s="21" t="s">
        <v>2848</v>
      </c>
    </row>
    <row r="1248" spans="8:9">
      <c r="H1248" s="20" t="s">
        <v>1287</v>
      </c>
      <c r="I1248" s="21" t="s">
        <v>2849</v>
      </c>
    </row>
    <row r="1249" spans="8:9">
      <c r="H1249" s="20" t="s">
        <v>1288</v>
      </c>
      <c r="I1249" s="21" t="s">
        <v>2852</v>
      </c>
    </row>
    <row r="1250" spans="8:9">
      <c r="H1250" s="20" t="s">
        <v>1289</v>
      </c>
      <c r="I1250" s="21" t="s">
        <v>2848</v>
      </c>
    </row>
    <row r="1251" spans="8:9">
      <c r="H1251" s="20" t="s">
        <v>1290</v>
      </c>
      <c r="I1251" s="22" t="s">
        <v>2850</v>
      </c>
    </row>
    <row r="1252" spans="8:9">
      <c r="H1252" s="20" t="s">
        <v>1291</v>
      </c>
      <c r="I1252" s="21" t="s">
        <v>2850</v>
      </c>
    </row>
    <row r="1253" spans="8:9">
      <c r="H1253" s="20" t="s">
        <v>1292</v>
      </c>
      <c r="I1253" s="21" t="s">
        <v>2852</v>
      </c>
    </row>
    <row r="1254" spans="8:9">
      <c r="H1254" s="20" t="s">
        <v>1293</v>
      </c>
      <c r="I1254" s="21" t="s">
        <v>2848</v>
      </c>
    </row>
    <row r="1255" spans="8:9">
      <c r="H1255" s="20" t="s">
        <v>1294</v>
      </c>
      <c r="I1255" s="21" t="s">
        <v>2848</v>
      </c>
    </row>
    <row r="1256" spans="8:9">
      <c r="H1256" s="20" t="s">
        <v>1295</v>
      </c>
      <c r="I1256" s="21" t="s">
        <v>2848</v>
      </c>
    </row>
    <row r="1257" spans="8:9">
      <c r="H1257" s="20" t="s">
        <v>1296</v>
      </c>
      <c r="I1257" s="22" t="s">
        <v>2850</v>
      </c>
    </row>
    <row r="1258" spans="8:9">
      <c r="H1258" s="20" t="s">
        <v>1297</v>
      </c>
      <c r="I1258" s="21" t="s">
        <v>2850</v>
      </c>
    </row>
    <row r="1259" spans="8:9">
      <c r="H1259" s="20" t="s">
        <v>1298</v>
      </c>
      <c r="I1259" s="22" t="s">
        <v>2850</v>
      </c>
    </row>
    <row r="1260" spans="8:9">
      <c r="H1260" s="20" t="s">
        <v>1299</v>
      </c>
      <c r="I1260" s="22" t="s">
        <v>2848</v>
      </c>
    </row>
    <row r="1261" spans="8:9">
      <c r="H1261" s="20" t="s">
        <v>1300</v>
      </c>
      <c r="I1261" s="21" t="s">
        <v>2849</v>
      </c>
    </row>
    <row r="1262" spans="8:9">
      <c r="H1262" s="20" t="s">
        <v>1301</v>
      </c>
      <c r="I1262" s="22" t="s">
        <v>2849</v>
      </c>
    </row>
    <row r="1263" spans="8:9">
      <c r="H1263" s="20" t="s">
        <v>1302</v>
      </c>
      <c r="I1263" s="22" t="s">
        <v>2849</v>
      </c>
    </row>
    <row r="1264" spans="8:9">
      <c r="H1264" s="20" t="s">
        <v>1303</v>
      </c>
      <c r="I1264" s="22" t="s">
        <v>2849</v>
      </c>
    </row>
    <row r="1265" spans="8:9">
      <c r="H1265" s="20" t="s">
        <v>1304</v>
      </c>
      <c r="I1265" s="21" t="s">
        <v>2850</v>
      </c>
    </row>
    <row r="1266" spans="8:9">
      <c r="H1266" s="20" t="s">
        <v>1305</v>
      </c>
      <c r="I1266" s="22" t="s">
        <v>2848</v>
      </c>
    </row>
    <row r="1267" spans="8:9">
      <c r="H1267" s="20" t="s">
        <v>1306</v>
      </c>
      <c r="I1267" s="22" t="s">
        <v>2850</v>
      </c>
    </row>
    <row r="1268" spans="8:9">
      <c r="H1268" s="20" t="s">
        <v>1307</v>
      </c>
      <c r="I1268" s="22" t="s">
        <v>2850</v>
      </c>
    </row>
    <row r="1269" spans="8:9">
      <c r="H1269" s="20" t="s">
        <v>1308</v>
      </c>
      <c r="I1269" s="22" t="s">
        <v>2850</v>
      </c>
    </row>
    <row r="1270" spans="8:9">
      <c r="H1270" s="20" t="s">
        <v>1309</v>
      </c>
      <c r="I1270" s="21" t="s">
        <v>2850</v>
      </c>
    </row>
    <row r="1271" spans="8:9">
      <c r="H1271" s="20" t="s">
        <v>1310</v>
      </c>
      <c r="I1271" s="22" t="s">
        <v>2850</v>
      </c>
    </row>
    <row r="1272" spans="8:9">
      <c r="H1272" s="20" t="s">
        <v>1311</v>
      </c>
      <c r="I1272" s="21" t="s">
        <v>2850</v>
      </c>
    </row>
    <row r="1273" spans="8:9">
      <c r="H1273" s="20" t="s">
        <v>1312</v>
      </c>
      <c r="I1273" s="22" t="s">
        <v>2849</v>
      </c>
    </row>
    <row r="1274" spans="8:9">
      <c r="H1274" s="20" t="s">
        <v>1313</v>
      </c>
      <c r="I1274" s="22" t="s">
        <v>2849</v>
      </c>
    </row>
    <row r="1275" spans="8:9">
      <c r="H1275" s="20" t="s">
        <v>1314</v>
      </c>
      <c r="I1275" s="22" t="s">
        <v>2848</v>
      </c>
    </row>
    <row r="1276" spans="8:9">
      <c r="H1276" s="20" t="s">
        <v>1315</v>
      </c>
      <c r="I1276" s="21" t="s">
        <v>2852</v>
      </c>
    </row>
    <row r="1277" spans="8:9">
      <c r="H1277" s="20" t="s">
        <v>1316</v>
      </c>
      <c r="I1277" s="21" t="s">
        <v>2852</v>
      </c>
    </row>
    <row r="1278" spans="8:9">
      <c r="H1278" s="20" t="s">
        <v>1317</v>
      </c>
      <c r="I1278" s="21" t="s">
        <v>2850</v>
      </c>
    </row>
    <row r="1279" spans="8:9">
      <c r="H1279" s="20" t="s">
        <v>1318</v>
      </c>
      <c r="I1279" s="21" t="s">
        <v>2850</v>
      </c>
    </row>
    <row r="1280" spans="8:9">
      <c r="H1280" s="20" t="s">
        <v>1319</v>
      </c>
      <c r="I1280" s="21" t="s">
        <v>2848</v>
      </c>
    </row>
    <row r="1281" spans="8:9">
      <c r="H1281" s="20" t="s">
        <v>1320</v>
      </c>
      <c r="I1281" s="21" t="s">
        <v>2852</v>
      </c>
    </row>
    <row r="1282" spans="8:9">
      <c r="H1282" s="20" t="s">
        <v>1321</v>
      </c>
      <c r="I1282" s="21" t="s">
        <v>2849</v>
      </c>
    </row>
    <row r="1283" spans="8:9">
      <c r="H1283" s="20" t="s">
        <v>1322</v>
      </c>
      <c r="I1283" s="21" t="s">
        <v>2852</v>
      </c>
    </row>
    <row r="1284" spans="8:9">
      <c r="H1284" s="20" t="s">
        <v>1323</v>
      </c>
      <c r="I1284" s="21" t="s">
        <v>2849</v>
      </c>
    </row>
    <row r="1285" spans="8:9">
      <c r="H1285" s="20" t="s">
        <v>1324</v>
      </c>
      <c r="I1285" s="21" t="s">
        <v>2852</v>
      </c>
    </row>
    <row r="1286" spans="8:9">
      <c r="H1286" s="20" t="s">
        <v>1325</v>
      </c>
      <c r="I1286" s="21" t="s">
        <v>2850</v>
      </c>
    </row>
    <row r="1287" spans="8:9">
      <c r="H1287" s="20" t="s">
        <v>1326</v>
      </c>
      <c r="I1287" s="21" t="s">
        <v>2852</v>
      </c>
    </row>
    <row r="1288" spans="8:9">
      <c r="H1288" s="20" t="s">
        <v>1327</v>
      </c>
      <c r="I1288" s="22" t="s">
        <v>2850</v>
      </c>
    </row>
    <row r="1289" spans="8:9">
      <c r="H1289" s="20" t="s">
        <v>1328</v>
      </c>
      <c r="I1289" s="22" t="s">
        <v>2848</v>
      </c>
    </row>
    <row r="1290" spans="8:9">
      <c r="H1290" s="20" t="s">
        <v>1329</v>
      </c>
      <c r="I1290" s="22" t="s">
        <v>2849</v>
      </c>
    </row>
    <row r="1291" spans="8:9">
      <c r="H1291" s="20" t="s">
        <v>1330</v>
      </c>
      <c r="I1291" s="22" t="s">
        <v>2848</v>
      </c>
    </row>
    <row r="1292" spans="8:9">
      <c r="H1292" s="20" t="s">
        <v>1331</v>
      </c>
      <c r="I1292" s="22" t="s">
        <v>2849</v>
      </c>
    </row>
    <row r="1293" spans="8:9">
      <c r="H1293" s="20" t="s">
        <v>1332</v>
      </c>
      <c r="I1293" s="22" t="s">
        <v>2849</v>
      </c>
    </row>
    <row r="1294" spans="8:9">
      <c r="H1294" s="20" t="s">
        <v>1333</v>
      </c>
      <c r="I1294" s="22" t="s">
        <v>2848</v>
      </c>
    </row>
    <row r="1295" spans="8:9">
      <c r="H1295" s="20" t="s">
        <v>1334</v>
      </c>
      <c r="I1295" s="22" t="s">
        <v>2849</v>
      </c>
    </row>
    <row r="1296" spans="8:9">
      <c r="H1296" s="20" t="s">
        <v>1335</v>
      </c>
      <c r="I1296" s="22" t="s">
        <v>2849</v>
      </c>
    </row>
    <row r="1297" spans="8:9">
      <c r="H1297" s="20" t="s">
        <v>1336</v>
      </c>
      <c r="I1297" s="22" t="s">
        <v>2849</v>
      </c>
    </row>
    <row r="1298" spans="8:9">
      <c r="H1298" s="20" t="s">
        <v>1337</v>
      </c>
      <c r="I1298" s="22" t="s">
        <v>2849</v>
      </c>
    </row>
    <row r="1299" spans="8:9">
      <c r="H1299" s="20" t="s">
        <v>1338</v>
      </c>
      <c r="I1299" s="22" t="s">
        <v>2849</v>
      </c>
    </row>
    <row r="1300" spans="8:9">
      <c r="H1300" s="12" t="s">
        <v>1339</v>
      </c>
      <c r="I1300" s="22" t="s">
        <v>2849</v>
      </c>
    </row>
    <row r="1301" spans="8:9">
      <c r="H1301" s="12" t="s">
        <v>1340</v>
      </c>
      <c r="I1301" s="22" t="s">
        <v>2849</v>
      </c>
    </row>
    <row r="1302" spans="8:9">
      <c r="H1302" s="12" t="s">
        <v>1341</v>
      </c>
      <c r="I1302" s="22" t="s">
        <v>2849</v>
      </c>
    </row>
    <row r="1303" spans="8:9">
      <c r="H1303" s="12" t="s">
        <v>1342</v>
      </c>
      <c r="I1303" s="22" t="s">
        <v>2849</v>
      </c>
    </row>
    <row r="1304" spans="8:9">
      <c r="H1304" s="12" t="s">
        <v>1343</v>
      </c>
      <c r="I1304" s="22" t="s">
        <v>2849</v>
      </c>
    </row>
    <row r="1305" spans="8:9">
      <c r="H1305" s="12" t="s">
        <v>1344</v>
      </c>
      <c r="I1305" s="22" t="s">
        <v>2849</v>
      </c>
    </row>
    <row r="1306" spans="8:9">
      <c r="H1306" s="12" t="s">
        <v>1345</v>
      </c>
      <c r="I1306" s="22" t="s">
        <v>2849</v>
      </c>
    </row>
    <row r="1307" spans="8:9">
      <c r="H1307" s="12" t="s">
        <v>1346</v>
      </c>
      <c r="I1307" s="22" t="s">
        <v>2849</v>
      </c>
    </row>
    <row r="1308" spans="8:9">
      <c r="H1308" s="12" t="s">
        <v>1347</v>
      </c>
      <c r="I1308" s="22" t="s">
        <v>2849</v>
      </c>
    </row>
    <row r="1309" spans="8:9">
      <c r="H1309" s="12" t="s">
        <v>1348</v>
      </c>
      <c r="I1309" s="22" t="s">
        <v>2849</v>
      </c>
    </row>
    <row r="1310" spans="8:9">
      <c r="H1310" s="12" t="s">
        <v>1349</v>
      </c>
      <c r="I1310" s="22" t="s">
        <v>2849</v>
      </c>
    </row>
    <row r="1311" spans="8:9">
      <c r="H1311" s="12" t="s">
        <v>1350</v>
      </c>
      <c r="I1311" s="22" t="s">
        <v>2849</v>
      </c>
    </row>
    <row r="1312" spans="8:9">
      <c r="H1312" s="12" t="s">
        <v>1351</v>
      </c>
      <c r="I1312" s="22" t="s">
        <v>2849</v>
      </c>
    </row>
    <row r="1313" spans="8:9">
      <c r="H1313" s="20" t="s">
        <v>1352</v>
      </c>
      <c r="I1313" s="22" t="s">
        <v>2849</v>
      </c>
    </row>
    <row r="1314" spans="8:9">
      <c r="H1314" s="20" t="s">
        <v>1353</v>
      </c>
      <c r="I1314" s="22" t="s">
        <v>2849</v>
      </c>
    </row>
    <row r="1315" spans="8:9">
      <c r="H1315" s="20" t="s">
        <v>1354</v>
      </c>
      <c r="I1315" s="22" t="s">
        <v>2849</v>
      </c>
    </row>
    <row r="1316" spans="8:9">
      <c r="H1316" s="20" t="s">
        <v>1355</v>
      </c>
      <c r="I1316" s="22" t="s">
        <v>2849</v>
      </c>
    </row>
    <row r="1317" spans="8:9">
      <c r="H1317" s="20" t="s">
        <v>1356</v>
      </c>
      <c r="I1317" s="22" t="s">
        <v>2848</v>
      </c>
    </row>
    <row r="1318" spans="8:9">
      <c r="H1318" s="20" t="s">
        <v>1357</v>
      </c>
      <c r="I1318" s="22" t="s">
        <v>2848</v>
      </c>
    </row>
    <row r="1319" spans="8:9">
      <c r="H1319" s="20" t="s">
        <v>1358</v>
      </c>
      <c r="I1319" s="22" t="s">
        <v>2852</v>
      </c>
    </row>
    <row r="1320" spans="8:9">
      <c r="H1320" s="20" t="s">
        <v>1359</v>
      </c>
      <c r="I1320" s="21" t="s">
        <v>2852</v>
      </c>
    </row>
    <row r="1321" spans="8:9">
      <c r="H1321" s="20" t="s">
        <v>1360</v>
      </c>
      <c r="I1321" s="21" t="s">
        <v>2848</v>
      </c>
    </row>
    <row r="1322" spans="8:9">
      <c r="H1322" s="20" t="s">
        <v>1361</v>
      </c>
      <c r="I1322" s="22" t="s">
        <v>2852</v>
      </c>
    </row>
    <row r="1323" spans="8:9">
      <c r="H1323" s="20" t="s">
        <v>1362</v>
      </c>
      <c r="I1323" s="22" t="s">
        <v>2852</v>
      </c>
    </row>
    <row r="1324" spans="8:9">
      <c r="H1324" s="20" t="s">
        <v>1363</v>
      </c>
      <c r="I1324" s="22" t="s">
        <v>2852</v>
      </c>
    </row>
    <row r="1325" spans="8:9">
      <c r="H1325" s="20" t="s">
        <v>1364</v>
      </c>
      <c r="I1325" s="22" t="s">
        <v>2852</v>
      </c>
    </row>
    <row r="1326" spans="8:9">
      <c r="H1326" s="20" t="s">
        <v>1365</v>
      </c>
      <c r="I1326" s="21" t="s">
        <v>2852</v>
      </c>
    </row>
    <row r="1327" spans="8:9">
      <c r="H1327" s="20" t="s">
        <v>1366</v>
      </c>
      <c r="I1327" s="21" t="s">
        <v>2852</v>
      </c>
    </row>
    <row r="1328" spans="8:9">
      <c r="H1328" s="20" t="s">
        <v>1367</v>
      </c>
      <c r="I1328" s="21" t="s">
        <v>2852</v>
      </c>
    </row>
    <row r="1329" spans="8:9">
      <c r="H1329" s="20" t="s">
        <v>1368</v>
      </c>
      <c r="I1329" s="22" t="s">
        <v>2849</v>
      </c>
    </row>
    <row r="1330" spans="8:9">
      <c r="H1330" s="20" t="s">
        <v>1369</v>
      </c>
      <c r="I1330" s="21" t="s">
        <v>2850</v>
      </c>
    </row>
    <row r="1331" spans="8:9">
      <c r="H1331" s="20" t="s">
        <v>1370</v>
      </c>
      <c r="I1331" s="22" t="s">
        <v>2849</v>
      </c>
    </row>
    <row r="1332" spans="8:9">
      <c r="H1332" s="12" t="s">
        <v>1371</v>
      </c>
      <c r="I1332" s="22" t="s">
        <v>2849</v>
      </c>
    </row>
    <row r="1333" spans="8:9">
      <c r="H1333" s="20" t="s">
        <v>1372</v>
      </c>
      <c r="I1333" s="21" t="s">
        <v>2849</v>
      </c>
    </row>
    <row r="1334" spans="8:9">
      <c r="H1334" s="20" t="s">
        <v>1373</v>
      </c>
      <c r="I1334" s="22" t="s">
        <v>2849</v>
      </c>
    </row>
    <row r="1335" spans="8:9">
      <c r="H1335" s="20" t="s">
        <v>1374</v>
      </c>
      <c r="I1335" s="22" t="s">
        <v>2849</v>
      </c>
    </row>
    <row r="1336" spans="8:9">
      <c r="H1336" s="20" t="s">
        <v>1375</v>
      </c>
      <c r="I1336" s="22" t="s">
        <v>2849</v>
      </c>
    </row>
    <row r="1337" spans="8:9">
      <c r="H1337" s="20" t="s">
        <v>1376</v>
      </c>
      <c r="I1337" s="22" t="s">
        <v>2849</v>
      </c>
    </row>
    <row r="1338" spans="8:9">
      <c r="H1338" s="20" t="s">
        <v>1377</v>
      </c>
      <c r="I1338" s="22" t="s">
        <v>2849</v>
      </c>
    </row>
    <row r="1339" spans="8:9">
      <c r="H1339" s="20" t="s">
        <v>1378</v>
      </c>
      <c r="I1339" s="22" t="s">
        <v>2849</v>
      </c>
    </row>
    <row r="1340" spans="8:9">
      <c r="H1340" s="20" t="s">
        <v>1379</v>
      </c>
      <c r="I1340" s="22" t="s">
        <v>2848</v>
      </c>
    </row>
    <row r="1341" spans="8:9">
      <c r="H1341" s="20" t="s">
        <v>1380</v>
      </c>
      <c r="I1341" s="22" t="s">
        <v>2852</v>
      </c>
    </row>
    <row r="1342" spans="8:9">
      <c r="H1342" s="20" t="s">
        <v>1381</v>
      </c>
      <c r="I1342" s="22" t="s">
        <v>2852</v>
      </c>
    </row>
    <row r="1343" spans="8:9">
      <c r="H1343" s="20" t="s">
        <v>1382</v>
      </c>
      <c r="I1343" s="22" t="s">
        <v>2852</v>
      </c>
    </row>
    <row r="1344" spans="8:9">
      <c r="H1344" s="20" t="s">
        <v>1383</v>
      </c>
      <c r="I1344" s="22" t="s">
        <v>2852</v>
      </c>
    </row>
    <row r="1345" spans="8:9">
      <c r="H1345" s="20" t="s">
        <v>1384</v>
      </c>
      <c r="I1345" s="22" t="s">
        <v>2852</v>
      </c>
    </row>
    <row r="1346" spans="8:9">
      <c r="H1346" s="20" t="s">
        <v>1385</v>
      </c>
      <c r="I1346" s="22" t="s">
        <v>2852</v>
      </c>
    </row>
    <row r="1347" spans="8:9">
      <c r="H1347" s="20" t="s">
        <v>1386</v>
      </c>
      <c r="I1347" s="21" t="s">
        <v>2852</v>
      </c>
    </row>
    <row r="1348" spans="8:9">
      <c r="H1348" s="20" t="s">
        <v>1387</v>
      </c>
      <c r="I1348" s="22" t="s">
        <v>2852</v>
      </c>
    </row>
    <row r="1349" spans="8:9">
      <c r="H1349" s="20" t="s">
        <v>1388</v>
      </c>
      <c r="I1349" s="21" t="s">
        <v>2850</v>
      </c>
    </row>
    <row r="1350" spans="8:9">
      <c r="H1350" s="20" t="s">
        <v>1389</v>
      </c>
      <c r="I1350" s="22" t="s">
        <v>2852</v>
      </c>
    </row>
    <row r="1351" spans="8:9">
      <c r="H1351" s="20" t="s">
        <v>1390</v>
      </c>
      <c r="I1351" s="22" t="s">
        <v>2852</v>
      </c>
    </row>
    <row r="1352" spans="8:9">
      <c r="H1352" s="20" t="s">
        <v>1391</v>
      </c>
      <c r="I1352" s="22" t="s">
        <v>2852</v>
      </c>
    </row>
    <row r="1353" spans="8:9">
      <c r="H1353" s="20" t="s">
        <v>1392</v>
      </c>
      <c r="I1353" s="22" t="s">
        <v>2852</v>
      </c>
    </row>
    <row r="1354" spans="8:9">
      <c r="H1354" s="20" t="s">
        <v>1393</v>
      </c>
      <c r="I1354" s="22" t="s">
        <v>2852</v>
      </c>
    </row>
    <row r="1355" spans="8:9">
      <c r="H1355" s="20" t="s">
        <v>1394</v>
      </c>
      <c r="I1355" s="21" t="s">
        <v>2852</v>
      </c>
    </row>
    <row r="1356" spans="8:9">
      <c r="H1356" s="20" t="s">
        <v>1395</v>
      </c>
      <c r="I1356" s="21" t="s">
        <v>2849</v>
      </c>
    </row>
    <row r="1357" spans="8:9">
      <c r="H1357" s="20" t="s">
        <v>1396</v>
      </c>
      <c r="I1357" s="22" t="s">
        <v>2852</v>
      </c>
    </row>
    <row r="1358" spans="8:9">
      <c r="H1358" s="20" t="s">
        <v>1397</v>
      </c>
      <c r="I1358" s="21" t="s">
        <v>2848</v>
      </c>
    </row>
    <row r="1359" spans="8:9">
      <c r="H1359" s="20" t="s">
        <v>1398</v>
      </c>
      <c r="I1359" s="22" t="s">
        <v>2848</v>
      </c>
    </row>
    <row r="1360" spans="8:9">
      <c r="H1360" s="20" t="s">
        <v>1399</v>
      </c>
      <c r="I1360" s="22" t="s">
        <v>2852</v>
      </c>
    </row>
    <row r="1361" spans="8:9">
      <c r="H1361" s="20" t="s">
        <v>1400</v>
      </c>
      <c r="I1361" s="21" t="s">
        <v>2848</v>
      </c>
    </row>
    <row r="1362" spans="8:9">
      <c r="H1362" s="20" t="s">
        <v>1401</v>
      </c>
      <c r="I1362" s="22" t="s">
        <v>2852</v>
      </c>
    </row>
    <row r="1363" spans="8:9">
      <c r="H1363" s="20" t="s">
        <v>1402</v>
      </c>
      <c r="I1363" s="22" t="s">
        <v>2852</v>
      </c>
    </row>
    <row r="1364" spans="8:9">
      <c r="H1364" s="20" t="s">
        <v>1403</v>
      </c>
      <c r="I1364" s="21" t="s">
        <v>2852</v>
      </c>
    </row>
    <row r="1365" spans="8:9">
      <c r="H1365" s="20" t="s">
        <v>1404</v>
      </c>
      <c r="I1365" s="22" t="s">
        <v>2849</v>
      </c>
    </row>
    <row r="1366" spans="8:9">
      <c r="H1366" s="20" t="s">
        <v>1405</v>
      </c>
      <c r="I1366" s="22" t="s">
        <v>2849</v>
      </c>
    </row>
    <row r="1367" spans="8:9">
      <c r="H1367" s="20" t="s">
        <v>1406</v>
      </c>
      <c r="I1367" s="22" t="s">
        <v>2849</v>
      </c>
    </row>
    <row r="1368" spans="8:9">
      <c r="H1368" s="20" t="s">
        <v>1407</v>
      </c>
      <c r="I1368" s="22" t="s">
        <v>2849</v>
      </c>
    </row>
    <row r="1369" spans="8:9">
      <c r="H1369" s="20" t="s">
        <v>1408</v>
      </c>
      <c r="I1369" s="22" t="s">
        <v>2848</v>
      </c>
    </row>
    <row r="1370" spans="8:9">
      <c r="H1370" s="20" t="s">
        <v>1409</v>
      </c>
      <c r="I1370" s="22" t="s">
        <v>2848</v>
      </c>
    </row>
    <row r="1371" spans="8:9">
      <c r="H1371" s="20" t="s">
        <v>1410</v>
      </c>
      <c r="I1371" s="21" t="s">
        <v>2850</v>
      </c>
    </row>
    <row r="1372" spans="8:9">
      <c r="H1372" s="20" t="s">
        <v>1411</v>
      </c>
      <c r="I1372" s="22" t="s">
        <v>2850</v>
      </c>
    </row>
    <row r="1373" spans="8:9">
      <c r="H1373" s="20" t="s">
        <v>1412</v>
      </c>
      <c r="I1373" s="22" t="s">
        <v>2849</v>
      </c>
    </row>
    <row r="1374" spans="8:9">
      <c r="H1374" s="20" t="s">
        <v>1413</v>
      </c>
      <c r="I1374" s="22" t="s">
        <v>2852</v>
      </c>
    </row>
    <row r="1375" spans="8:9">
      <c r="H1375" s="20" t="s">
        <v>1414</v>
      </c>
      <c r="I1375" s="21" t="s">
        <v>2849</v>
      </c>
    </row>
    <row r="1376" spans="8:9">
      <c r="H1376" s="20" t="s">
        <v>1415</v>
      </c>
      <c r="I1376" s="21" t="s">
        <v>2852</v>
      </c>
    </row>
    <row r="1377" spans="8:9">
      <c r="H1377" s="20" t="s">
        <v>1416</v>
      </c>
      <c r="I1377" s="22" t="s">
        <v>2848</v>
      </c>
    </row>
    <row r="1378" spans="8:9">
      <c r="H1378" s="20" t="s">
        <v>1417</v>
      </c>
      <c r="I1378" s="22" t="s">
        <v>2848</v>
      </c>
    </row>
    <row r="1379" spans="8:9">
      <c r="H1379" s="20" t="s">
        <v>1418</v>
      </c>
      <c r="I1379" s="22" t="s">
        <v>2848</v>
      </c>
    </row>
    <row r="1380" spans="8:9">
      <c r="H1380" s="20" t="s">
        <v>1419</v>
      </c>
      <c r="I1380" s="22" t="s">
        <v>2848</v>
      </c>
    </row>
    <row r="1381" spans="8:9">
      <c r="H1381" s="20" t="s">
        <v>1420</v>
      </c>
      <c r="I1381" s="22" t="s">
        <v>2849</v>
      </c>
    </row>
    <row r="1382" spans="8:9">
      <c r="H1382" s="20" t="s">
        <v>1421</v>
      </c>
      <c r="I1382" s="22" t="s">
        <v>2850</v>
      </c>
    </row>
    <row r="1383" spans="8:9">
      <c r="H1383" s="20" t="s">
        <v>1422</v>
      </c>
      <c r="I1383" s="22" t="s">
        <v>2850</v>
      </c>
    </row>
    <row r="1384" spans="8:9">
      <c r="H1384" s="20" t="s">
        <v>1423</v>
      </c>
      <c r="I1384" s="22" t="s">
        <v>2850</v>
      </c>
    </row>
    <row r="1385" spans="8:9">
      <c r="H1385" s="20" t="s">
        <v>1424</v>
      </c>
      <c r="I1385" s="22" t="s">
        <v>2850</v>
      </c>
    </row>
    <row r="1386" spans="8:9">
      <c r="H1386" s="20" t="s">
        <v>1425</v>
      </c>
      <c r="I1386" s="21" t="s">
        <v>2849</v>
      </c>
    </row>
    <row r="1387" spans="8:9">
      <c r="H1387" s="20" t="s">
        <v>1426</v>
      </c>
      <c r="I1387" s="21" t="s">
        <v>2850</v>
      </c>
    </row>
    <row r="1388" spans="8:9">
      <c r="H1388" s="20" t="s">
        <v>1427</v>
      </c>
      <c r="I1388" s="21" t="s">
        <v>2850</v>
      </c>
    </row>
    <row r="1389" spans="8:9">
      <c r="H1389" s="20" t="s">
        <v>1428</v>
      </c>
      <c r="I1389" s="21" t="s">
        <v>2852</v>
      </c>
    </row>
    <row r="1390" spans="8:9">
      <c r="H1390" s="20" t="s">
        <v>1429</v>
      </c>
      <c r="I1390" s="21" t="s">
        <v>2852</v>
      </c>
    </row>
    <row r="1391" spans="8:9">
      <c r="H1391" s="20" t="s">
        <v>1430</v>
      </c>
      <c r="I1391" s="21" t="s">
        <v>2852</v>
      </c>
    </row>
    <row r="1392" spans="8:9">
      <c r="H1392" s="20" t="s">
        <v>1431</v>
      </c>
      <c r="I1392" s="22" t="s">
        <v>2848</v>
      </c>
    </row>
    <row r="1393" spans="8:9">
      <c r="H1393" s="20" t="s">
        <v>1432</v>
      </c>
      <c r="I1393" s="22" t="s">
        <v>2848</v>
      </c>
    </row>
    <row r="1394" spans="8:9">
      <c r="H1394" s="20" t="s">
        <v>1433</v>
      </c>
      <c r="I1394" s="22" t="s">
        <v>2848</v>
      </c>
    </row>
    <row r="1395" spans="8:9">
      <c r="H1395" s="20" t="s">
        <v>1434</v>
      </c>
      <c r="I1395" s="22" t="s">
        <v>2849</v>
      </c>
    </row>
    <row r="1396" spans="8:9">
      <c r="H1396" s="20" t="s">
        <v>1435</v>
      </c>
      <c r="I1396" s="22" t="s">
        <v>2849</v>
      </c>
    </row>
    <row r="1397" spans="8:9">
      <c r="H1397" s="20" t="s">
        <v>1436</v>
      </c>
      <c r="I1397" s="22" t="s">
        <v>2849</v>
      </c>
    </row>
    <row r="1398" spans="8:9">
      <c r="H1398" s="20" t="s">
        <v>1437</v>
      </c>
      <c r="I1398" s="21" t="s">
        <v>2852</v>
      </c>
    </row>
    <row r="1399" spans="8:9">
      <c r="H1399" s="20" t="s">
        <v>1438</v>
      </c>
      <c r="I1399" s="22" t="s">
        <v>2849</v>
      </c>
    </row>
    <row r="1400" spans="8:9">
      <c r="H1400" s="20" t="s">
        <v>1439</v>
      </c>
      <c r="I1400" s="22" t="s">
        <v>2849</v>
      </c>
    </row>
    <row r="1401" spans="8:9">
      <c r="H1401" s="20" t="s">
        <v>1440</v>
      </c>
      <c r="I1401" s="21" t="s">
        <v>2848</v>
      </c>
    </row>
    <row r="1402" spans="8:9">
      <c r="H1402" s="20" t="s">
        <v>1441</v>
      </c>
      <c r="I1402" s="22" t="s">
        <v>2849</v>
      </c>
    </row>
    <row r="1403" spans="8:9">
      <c r="H1403" s="20" t="s">
        <v>1442</v>
      </c>
      <c r="I1403" s="22" t="s">
        <v>2849</v>
      </c>
    </row>
    <row r="1404" spans="8:9">
      <c r="H1404" s="20" t="s">
        <v>1443</v>
      </c>
      <c r="I1404" s="22" t="s">
        <v>2849</v>
      </c>
    </row>
    <row r="1405" spans="8:9">
      <c r="H1405" s="20" t="s">
        <v>1444</v>
      </c>
      <c r="I1405" s="22" t="s">
        <v>2849</v>
      </c>
    </row>
    <row r="1406" spans="8:9">
      <c r="H1406" s="20" t="s">
        <v>1445</v>
      </c>
      <c r="I1406" s="21" t="s">
        <v>2850</v>
      </c>
    </row>
    <row r="1407" spans="8:9">
      <c r="H1407" s="20" t="s">
        <v>1446</v>
      </c>
      <c r="I1407" s="22" t="s">
        <v>2848</v>
      </c>
    </row>
    <row r="1408" spans="8:9">
      <c r="H1408" s="12" t="s">
        <v>1447</v>
      </c>
      <c r="I1408" s="22" t="s">
        <v>2849</v>
      </c>
    </row>
    <row r="1409" spans="8:9">
      <c r="H1409" s="20" t="s">
        <v>1448</v>
      </c>
      <c r="I1409" s="22" t="s">
        <v>2848</v>
      </c>
    </row>
    <row r="1410" spans="8:9">
      <c r="H1410" s="20" t="s">
        <v>1449</v>
      </c>
      <c r="I1410" s="22" t="s">
        <v>2848</v>
      </c>
    </row>
    <row r="1411" spans="8:9">
      <c r="H1411" s="20" t="s">
        <v>1450</v>
      </c>
      <c r="I1411" s="22" t="s">
        <v>2848</v>
      </c>
    </row>
    <row r="1412" spans="8:9">
      <c r="H1412" s="20" t="s">
        <v>1451</v>
      </c>
      <c r="I1412" s="22" t="s">
        <v>2848</v>
      </c>
    </row>
    <row r="1413" spans="8:9">
      <c r="H1413" s="20" t="s">
        <v>1452</v>
      </c>
      <c r="I1413" s="22" t="s">
        <v>2848</v>
      </c>
    </row>
    <row r="1414" spans="8:9">
      <c r="H1414" s="20" t="s">
        <v>1453</v>
      </c>
      <c r="I1414" s="22" t="s">
        <v>2848</v>
      </c>
    </row>
    <row r="1415" spans="8:9">
      <c r="H1415" s="20" t="s">
        <v>1454</v>
      </c>
      <c r="I1415" s="22" t="s">
        <v>2848</v>
      </c>
    </row>
    <row r="1416" spans="8:9">
      <c r="H1416" s="20" t="s">
        <v>1455</v>
      </c>
      <c r="I1416" s="22" t="s">
        <v>2848</v>
      </c>
    </row>
    <row r="1417" spans="8:9">
      <c r="H1417" s="20" t="s">
        <v>1456</v>
      </c>
      <c r="I1417" s="21" t="s">
        <v>2852</v>
      </c>
    </row>
    <row r="1418" spans="8:9">
      <c r="H1418" s="20" t="s">
        <v>1457</v>
      </c>
      <c r="I1418" s="22" t="s">
        <v>2852</v>
      </c>
    </row>
    <row r="1419" spans="8:9">
      <c r="H1419" s="20" t="s">
        <v>1458</v>
      </c>
      <c r="I1419" s="21" t="s">
        <v>2852</v>
      </c>
    </row>
    <row r="1420" spans="8:9">
      <c r="H1420" s="20" t="s">
        <v>1459</v>
      </c>
      <c r="I1420" s="22" t="s">
        <v>2852</v>
      </c>
    </row>
    <row r="1421" spans="8:9">
      <c r="H1421" s="20" t="s">
        <v>1460</v>
      </c>
      <c r="I1421" s="21" t="s">
        <v>2848</v>
      </c>
    </row>
    <row r="1422" spans="8:9">
      <c r="H1422" s="20" t="s">
        <v>1461</v>
      </c>
      <c r="I1422" s="22" t="s">
        <v>2852</v>
      </c>
    </row>
    <row r="1423" spans="8:9">
      <c r="H1423" s="20" t="s">
        <v>1462</v>
      </c>
      <c r="I1423" s="21" t="s">
        <v>2848</v>
      </c>
    </row>
    <row r="1424" spans="8:9">
      <c r="H1424" s="20" t="s">
        <v>1463</v>
      </c>
      <c r="I1424" s="22" t="s">
        <v>2852</v>
      </c>
    </row>
    <row r="1425" spans="8:9">
      <c r="H1425" s="20" t="s">
        <v>1464</v>
      </c>
      <c r="I1425" s="22" t="s">
        <v>2849</v>
      </c>
    </row>
    <row r="1426" spans="8:9">
      <c r="H1426" s="20" t="s">
        <v>1465</v>
      </c>
      <c r="I1426" s="22" t="s">
        <v>2849</v>
      </c>
    </row>
    <row r="1427" spans="8:9">
      <c r="H1427" s="20" t="s">
        <v>1466</v>
      </c>
      <c r="I1427" s="21" t="s">
        <v>2848</v>
      </c>
    </row>
    <row r="1428" spans="8:9">
      <c r="H1428" s="20" t="s">
        <v>1467</v>
      </c>
      <c r="I1428" s="22" t="s">
        <v>2850</v>
      </c>
    </row>
    <row r="1429" spans="8:9">
      <c r="H1429" s="20" t="s">
        <v>1468</v>
      </c>
      <c r="I1429" s="22" t="s">
        <v>2850</v>
      </c>
    </row>
    <row r="1430" spans="8:9">
      <c r="H1430" s="20" t="s">
        <v>1469</v>
      </c>
      <c r="I1430" s="21" t="s">
        <v>2850</v>
      </c>
    </row>
    <row r="1431" spans="8:9">
      <c r="H1431" s="20" t="s">
        <v>1470</v>
      </c>
      <c r="I1431" s="21" t="s">
        <v>2849</v>
      </c>
    </row>
    <row r="1432" spans="8:9">
      <c r="H1432" s="20" t="s">
        <v>1471</v>
      </c>
      <c r="I1432" s="22" t="s">
        <v>2848</v>
      </c>
    </row>
    <row r="1433" spans="8:9">
      <c r="H1433" s="20" t="s">
        <v>1472</v>
      </c>
      <c r="I1433" s="22" t="s">
        <v>2849</v>
      </c>
    </row>
    <row r="1434" spans="8:9">
      <c r="H1434" s="20" t="s">
        <v>1473</v>
      </c>
      <c r="I1434" s="22" t="s">
        <v>2848</v>
      </c>
    </row>
    <row r="1435" spans="8:9">
      <c r="H1435" s="20" t="s">
        <v>1474</v>
      </c>
      <c r="I1435" s="22" t="s">
        <v>2848</v>
      </c>
    </row>
    <row r="1436" spans="8:9">
      <c r="H1436" s="20" t="s">
        <v>1475</v>
      </c>
      <c r="I1436" s="22" t="s">
        <v>2848</v>
      </c>
    </row>
    <row r="1437" spans="8:9">
      <c r="H1437" s="20" t="s">
        <v>1476</v>
      </c>
      <c r="I1437" s="22" t="s">
        <v>2849</v>
      </c>
    </row>
    <row r="1438" spans="8:9">
      <c r="H1438" s="20" t="s">
        <v>1477</v>
      </c>
      <c r="I1438" s="21" t="s">
        <v>2850</v>
      </c>
    </row>
    <row r="1439" spans="8:9">
      <c r="H1439" s="20" t="s">
        <v>1478</v>
      </c>
      <c r="I1439" s="22" t="s">
        <v>2848</v>
      </c>
    </row>
    <row r="1440" spans="8:9">
      <c r="H1440" s="20" t="s">
        <v>1479</v>
      </c>
      <c r="I1440" s="22" t="s">
        <v>2848</v>
      </c>
    </row>
    <row r="1441" spans="8:9">
      <c r="H1441" s="20" t="s">
        <v>1480</v>
      </c>
      <c r="I1441" s="22" t="s">
        <v>2848</v>
      </c>
    </row>
    <row r="1442" spans="8:9">
      <c r="H1442" s="20" t="s">
        <v>1481</v>
      </c>
      <c r="I1442" s="22" t="s">
        <v>2848</v>
      </c>
    </row>
    <row r="1443" spans="8:9">
      <c r="H1443" s="20" t="s">
        <v>1482</v>
      </c>
      <c r="I1443" s="21" t="s">
        <v>2850</v>
      </c>
    </row>
    <row r="1444" spans="8:9">
      <c r="H1444" s="20" t="s">
        <v>1483</v>
      </c>
      <c r="I1444" s="21" t="s">
        <v>2849</v>
      </c>
    </row>
    <row r="1445" spans="8:9">
      <c r="H1445" s="20" t="s">
        <v>1484</v>
      </c>
      <c r="I1445" s="22" t="s">
        <v>2848</v>
      </c>
    </row>
    <row r="1446" spans="8:9">
      <c r="H1446" s="20" t="s">
        <v>1485</v>
      </c>
      <c r="I1446" s="22" t="s">
        <v>2848</v>
      </c>
    </row>
    <row r="1447" spans="8:9">
      <c r="H1447" s="20" t="s">
        <v>1486</v>
      </c>
      <c r="I1447" s="21" t="s">
        <v>2849</v>
      </c>
    </row>
    <row r="1448" spans="8:9">
      <c r="H1448" s="20" t="s">
        <v>1487</v>
      </c>
      <c r="I1448" s="22" t="s">
        <v>2848</v>
      </c>
    </row>
    <row r="1449" spans="8:9">
      <c r="H1449" s="20" t="s">
        <v>1488</v>
      </c>
      <c r="I1449" s="22" t="s">
        <v>2849</v>
      </c>
    </row>
    <row r="1450" spans="8:9">
      <c r="H1450" s="20" t="s">
        <v>1489</v>
      </c>
      <c r="I1450" s="22" t="s">
        <v>2849</v>
      </c>
    </row>
    <row r="1451" spans="8:9">
      <c r="H1451" s="20" t="s">
        <v>1490</v>
      </c>
      <c r="I1451" s="22" t="s">
        <v>2849</v>
      </c>
    </row>
    <row r="1452" spans="8:9">
      <c r="H1452" s="20" t="s">
        <v>1491</v>
      </c>
      <c r="I1452" s="22" t="s">
        <v>2852</v>
      </c>
    </row>
    <row r="1453" spans="8:9">
      <c r="H1453" s="20" t="s">
        <v>1492</v>
      </c>
      <c r="I1453" s="22" t="s">
        <v>2852</v>
      </c>
    </row>
    <row r="1454" spans="8:9">
      <c r="H1454" s="20" t="s">
        <v>1493</v>
      </c>
      <c r="I1454" s="21" t="s">
        <v>2852</v>
      </c>
    </row>
    <row r="1455" spans="8:9">
      <c r="H1455" s="20" t="s">
        <v>1494</v>
      </c>
      <c r="I1455" s="21" t="s">
        <v>2849</v>
      </c>
    </row>
    <row r="1456" spans="8:9">
      <c r="H1456" s="20" t="s">
        <v>1495</v>
      </c>
      <c r="I1456" s="21" t="s">
        <v>2852</v>
      </c>
    </row>
    <row r="1457" spans="8:9">
      <c r="H1457" s="20" t="s">
        <v>1496</v>
      </c>
      <c r="I1457" s="22" t="s">
        <v>2849</v>
      </c>
    </row>
    <row r="1458" spans="8:9">
      <c r="H1458" s="20" t="s">
        <v>1497</v>
      </c>
      <c r="I1458" s="21" t="s">
        <v>2852</v>
      </c>
    </row>
    <row r="1459" spans="8:9">
      <c r="H1459" s="20" t="s">
        <v>1498</v>
      </c>
      <c r="I1459" s="22" t="s">
        <v>2852</v>
      </c>
    </row>
    <row r="1460" spans="8:9">
      <c r="H1460" s="20" t="s">
        <v>1499</v>
      </c>
      <c r="I1460" s="22" t="s">
        <v>2852</v>
      </c>
    </row>
    <row r="1461" spans="8:9">
      <c r="H1461" s="20" t="s">
        <v>1500</v>
      </c>
      <c r="I1461" s="21" t="s">
        <v>2852</v>
      </c>
    </row>
    <row r="1462" spans="8:9">
      <c r="H1462" s="20" t="s">
        <v>1501</v>
      </c>
      <c r="I1462" s="21" t="s">
        <v>2852</v>
      </c>
    </row>
    <row r="1463" spans="8:9">
      <c r="H1463" s="20" t="s">
        <v>1502</v>
      </c>
      <c r="I1463" s="22" t="s">
        <v>2848</v>
      </c>
    </row>
    <row r="1464" spans="8:9">
      <c r="H1464" s="20" t="s">
        <v>1503</v>
      </c>
      <c r="I1464" s="22" t="s">
        <v>2848</v>
      </c>
    </row>
    <row r="1465" spans="8:9">
      <c r="H1465" s="20" t="s">
        <v>1504</v>
      </c>
      <c r="I1465" s="21" t="s">
        <v>2850</v>
      </c>
    </row>
    <row r="1466" spans="8:9">
      <c r="H1466" s="20" t="s">
        <v>1505</v>
      </c>
      <c r="I1466" s="21" t="s">
        <v>2852</v>
      </c>
    </row>
    <row r="1467" spans="8:9">
      <c r="H1467" s="20" t="s">
        <v>1506</v>
      </c>
      <c r="I1467" s="21" t="s">
        <v>2849</v>
      </c>
    </row>
    <row r="1468" spans="8:9">
      <c r="H1468" s="20" t="s">
        <v>1507</v>
      </c>
      <c r="I1468" s="22" t="s">
        <v>2850</v>
      </c>
    </row>
    <row r="1469" spans="8:9">
      <c r="H1469" s="20" t="s">
        <v>1508</v>
      </c>
      <c r="I1469" s="22" t="s">
        <v>2850</v>
      </c>
    </row>
    <row r="1470" spans="8:9">
      <c r="H1470" s="20" t="s">
        <v>1509</v>
      </c>
      <c r="I1470" s="22" t="s">
        <v>2850</v>
      </c>
    </row>
    <row r="1471" spans="8:9">
      <c r="H1471" s="20" t="s">
        <v>1510</v>
      </c>
      <c r="I1471" s="21" t="s">
        <v>2850</v>
      </c>
    </row>
    <row r="1472" spans="8:9">
      <c r="H1472" s="20" t="s">
        <v>1511</v>
      </c>
      <c r="I1472" s="21" t="s">
        <v>2850</v>
      </c>
    </row>
    <row r="1473" spans="8:9">
      <c r="H1473" s="20" t="s">
        <v>1512</v>
      </c>
      <c r="I1473" s="21" t="s">
        <v>2849</v>
      </c>
    </row>
    <row r="1474" spans="8:9">
      <c r="H1474" s="20" t="s">
        <v>1513</v>
      </c>
      <c r="I1474" s="21" t="s">
        <v>2849</v>
      </c>
    </row>
    <row r="1475" spans="8:9">
      <c r="H1475" s="20" t="s">
        <v>1514</v>
      </c>
      <c r="I1475" s="21" t="s">
        <v>2850</v>
      </c>
    </row>
    <row r="1476" spans="8:9">
      <c r="H1476" s="20" t="s">
        <v>1515</v>
      </c>
      <c r="I1476" s="22" t="s">
        <v>2849</v>
      </c>
    </row>
    <row r="1477" spans="8:9">
      <c r="H1477" s="20" t="s">
        <v>1516</v>
      </c>
      <c r="I1477" s="21" t="s">
        <v>2852</v>
      </c>
    </row>
    <row r="1478" spans="8:9">
      <c r="H1478" s="20" t="s">
        <v>1517</v>
      </c>
      <c r="I1478" s="21" t="s">
        <v>2852</v>
      </c>
    </row>
    <row r="1479" spans="8:9">
      <c r="H1479" s="20" t="s">
        <v>1518</v>
      </c>
      <c r="I1479" s="22" t="s">
        <v>2852</v>
      </c>
    </row>
    <row r="1480" spans="8:9">
      <c r="H1480" s="20" t="s">
        <v>1519</v>
      </c>
      <c r="I1480" s="22" t="s">
        <v>2850</v>
      </c>
    </row>
    <row r="1481" spans="8:9">
      <c r="H1481" s="20" t="s">
        <v>1520</v>
      </c>
      <c r="I1481" s="22" t="s">
        <v>2850</v>
      </c>
    </row>
    <row r="1482" spans="8:9">
      <c r="H1482" s="20" t="s">
        <v>1521</v>
      </c>
      <c r="I1482" s="22" t="s">
        <v>2850</v>
      </c>
    </row>
    <row r="1483" spans="8:9">
      <c r="H1483" s="20" t="s">
        <v>1522</v>
      </c>
      <c r="I1483" s="21" t="s">
        <v>2850</v>
      </c>
    </row>
    <row r="1484" spans="8:9">
      <c r="H1484" s="20" t="s">
        <v>1523</v>
      </c>
      <c r="I1484" s="21" t="s">
        <v>2850</v>
      </c>
    </row>
    <row r="1485" spans="8:9">
      <c r="H1485" s="20" t="s">
        <v>1524</v>
      </c>
      <c r="I1485" s="21" t="s">
        <v>2850</v>
      </c>
    </row>
    <row r="1486" spans="8:9">
      <c r="H1486" s="20" t="s">
        <v>1525</v>
      </c>
      <c r="I1486" s="22" t="s">
        <v>2850</v>
      </c>
    </row>
    <row r="1487" spans="8:9">
      <c r="H1487" s="20" t="s">
        <v>1526</v>
      </c>
      <c r="I1487" s="21" t="s">
        <v>2850</v>
      </c>
    </row>
    <row r="1488" spans="8:9">
      <c r="H1488" s="20" t="s">
        <v>1527</v>
      </c>
      <c r="I1488" s="22" t="s">
        <v>2848</v>
      </c>
    </row>
    <row r="1489" spans="8:9">
      <c r="H1489" s="20" t="s">
        <v>1528</v>
      </c>
      <c r="I1489" s="22" t="s">
        <v>2848</v>
      </c>
    </row>
    <row r="1490" spans="8:9">
      <c r="H1490" s="20" t="s">
        <v>1529</v>
      </c>
      <c r="I1490" s="22" t="s">
        <v>2848</v>
      </c>
    </row>
    <row r="1491" spans="8:9">
      <c r="H1491" s="20" t="s">
        <v>1530</v>
      </c>
      <c r="I1491" s="21" t="s">
        <v>2852</v>
      </c>
    </row>
    <row r="1492" spans="8:9">
      <c r="H1492" s="20" t="s">
        <v>1531</v>
      </c>
      <c r="I1492" s="22" t="s">
        <v>2849</v>
      </c>
    </row>
    <row r="1493" spans="8:9">
      <c r="H1493" s="20" t="s">
        <v>1532</v>
      </c>
      <c r="I1493" s="22" t="s">
        <v>2850</v>
      </c>
    </row>
    <row r="1494" spans="8:9">
      <c r="H1494" s="20" t="s">
        <v>1533</v>
      </c>
      <c r="I1494" s="21" t="s">
        <v>2852</v>
      </c>
    </row>
    <row r="1495" spans="8:9">
      <c r="H1495" s="20" t="s">
        <v>1534</v>
      </c>
      <c r="I1495" s="22" t="s">
        <v>2850</v>
      </c>
    </row>
    <row r="1496" spans="8:9">
      <c r="H1496" s="20" t="s">
        <v>1535</v>
      </c>
      <c r="I1496" s="21" t="s">
        <v>2852</v>
      </c>
    </row>
    <row r="1497" spans="8:9">
      <c r="H1497" s="20" t="s">
        <v>1536</v>
      </c>
      <c r="I1497" s="22" t="s">
        <v>2850</v>
      </c>
    </row>
    <row r="1498" spans="8:9">
      <c r="H1498" s="20" t="s">
        <v>1537</v>
      </c>
      <c r="I1498" s="22" t="s">
        <v>2850</v>
      </c>
    </row>
    <row r="1499" spans="8:9">
      <c r="H1499" s="20" t="s">
        <v>1538</v>
      </c>
      <c r="I1499" s="22" t="s">
        <v>2850</v>
      </c>
    </row>
    <row r="1500" spans="8:9">
      <c r="H1500" s="20" t="s">
        <v>1539</v>
      </c>
      <c r="I1500" s="22" t="s">
        <v>2850</v>
      </c>
    </row>
    <row r="1501" spans="8:9">
      <c r="H1501" s="20" t="s">
        <v>1540</v>
      </c>
      <c r="I1501" s="21" t="s">
        <v>2850</v>
      </c>
    </row>
    <row r="1502" spans="8:9">
      <c r="H1502" s="20" t="s">
        <v>1541</v>
      </c>
      <c r="I1502" s="22" t="s">
        <v>2849</v>
      </c>
    </row>
    <row r="1503" spans="8:9">
      <c r="H1503" s="20" t="s">
        <v>1542</v>
      </c>
      <c r="I1503" s="22" t="s">
        <v>2849</v>
      </c>
    </row>
    <row r="1504" spans="8:9">
      <c r="H1504" s="20" t="s">
        <v>1543</v>
      </c>
      <c r="I1504" s="22" t="s">
        <v>2849</v>
      </c>
    </row>
    <row r="1505" spans="8:9">
      <c r="H1505" s="20" t="s">
        <v>1544</v>
      </c>
      <c r="I1505" s="22" t="s">
        <v>2849</v>
      </c>
    </row>
    <row r="1506" spans="8:9">
      <c r="H1506" s="20" t="s">
        <v>1545</v>
      </c>
      <c r="I1506" s="22" t="s">
        <v>2848</v>
      </c>
    </row>
    <row r="1507" spans="8:9">
      <c r="H1507" s="20" t="s">
        <v>1546</v>
      </c>
      <c r="I1507" s="21" t="s">
        <v>2850</v>
      </c>
    </row>
    <row r="1508" spans="8:9">
      <c r="H1508" s="20" t="s">
        <v>1547</v>
      </c>
      <c r="I1508" s="22" t="s">
        <v>2849</v>
      </c>
    </row>
    <row r="1509" spans="8:9">
      <c r="H1509" s="20" t="s">
        <v>1548</v>
      </c>
      <c r="I1509" s="22" t="s">
        <v>2852</v>
      </c>
    </row>
    <row r="1510" spans="8:9">
      <c r="H1510" s="20" t="s">
        <v>1549</v>
      </c>
      <c r="I1510" s="21" t="s">
        <v>2852</v>
      </c>
    </row>
    <row r="1511" spans="8:9">
      <c r="H1511" s="20" t="s">
        <v>1550</v>
      </c>
      <c r="I1511" s="22" t="s">
        <v>2852</v>
      </c>
    </row>
    <row r="1512" spans="8:9">
      <c r="H1512" s="20" t="s">
        <v>1551</v>
      </c>
      <c r="I1512" s="22" t="s">
        <v>2852</v>
      </c>
    </row>
    <row r="1513" spans="8:9">
      <c r="H1513" s="20" t="s">
        <v>1552</v>
      </c>
      <c r="I1513" s="21" t="s">
        <v>2852</v>
      </c>
    </row>
    <row r="1514" spans="8:9">
      <c r="H1514" s="20" t="s">
        <v>1553</v>
      </c>
      <c r="I1514" s="22" t="s">
        <v>2852</v>
      </c>
    </row>
    <row r="1515" spans="8:9">
      <c r="H1515" s="20" t="s">
        <v>1554</v>
      </c>
      <c r="I1515" s="22" t="s">
        <v>2852</v>
      </c>
    </row>
    <row r="1516" spans="8:9">
      <c r="H1516" s="20" t="s">
        <v>1555</v>
      </c>
      <c r="I1516" s="21" t="s">
        <v>2850</v>
      </c>
    </row>
    <row r="1517" spans="8:9">
      <c r="H1517" s="20" t="s">
        <v>1556</v>
      </c>
      <c r="I1517" s="22" t="s">
        <v>2852</v>
      </c>
    </row>
    <row r="1518" spans="8:9">
      <c r="H1518" s="20" t="s">
        <v>1557</v>
      </c>
      <c r="I1518" s="22" t="s">
        <v>2852</v>
      </c>
    </row>
    <row r="1519" spans="8:9">
      <c r="H1519" s="20" t="s">
        <v>1558</v>
      </c>
      <c r="I1519" s="22" t="s">
        <v>2852</v>
      </c>
    </row>
    <row r="1520" spans="8:9">
      <c r="H1520" s="20" t="s">
        <v>1559</v>
      </c>
      <c r="I1520" s="22" t="s">
        <v>2852</v>
      </c>
    </row>
    <row r="1521" spans="8:9">
      <c r="H1521" s="20" t="s">
        <v>1560</v>
      </c>
      <c r="I1521" s="22" t="s">
        <v>2852</v>
      </c>
    </row>
    <row r="1522" spans="8:9">
      <c r="H1522" s="20" t="s">
        <v>1561</v>
      </c>
      <c r="I1522" s="21" t="s">
        <v>2850</v>
      </c>
    </row>
    <row r="1523" spans="8:9">
      <c r="H1523" s="20" t="s">
        <v>1562</v>
      </c>
      <c r="I1523" s="22" t="s">
        <v>2852</v>
      </c>
    </row>
    <row r="1524" spans="8:9">
      <c r="H1524" s="20" t="s">
        <v>1563</v>
      </c>
      <c r="I1524" s="21" t="s">
        <v>2852</v>
      </c>
    </row>
    <row r="1525" spans="8:9">
      <c r="H1525" s="20" t="s">
        <v>1564</v>
      </c>
      <c r="I1525" s="22" t="s">
        <v>2852</v>
      </c>
    </row>
    <row r="1526" spans="8:9">
      <c r="H1526" s="20" t="s">
        <v>1565</v>
      </c>
      <c r="I1526" s="22" t="s">
        <v>2852</v>
      </c>
    </row>
    <row r="1527" spans="8:9">
      <c r="H1527" s="20" t="s">
        <v>1566</v>
      </c>
      <c r="I1527" s="21" t="s">
        <v>2852</v>
      </c>
    </row>
    <row r="1528" spans="8:9">
      <c r="H1528" s="20" t="s">
        <v>1567</v>
      </c>
      <c r="I1528" s="21" t="s">
        <v>2852</v>
      </c>
    </row>
    <row r="1529" spans="8:9">
      <c r="H1529" s="20" t="s">
        <v>1568</v>
      </c>
      <c r="I1529" s="21" t="s">
        <v>2852</v>
      </c>
    </row>
    <row r="1530" spans="8:9">
      <c r="H1530" s="20" t="s">
        <v>1569</v>
      </c>
      <c r="I1530" s="22" t="s">
        <v>2852</v>
      </c>
    </row>
    <row r="1531" spans="8:9">
      <c r="H1531" s="20" t="s">
        <v>1570</v>
      </c>
      <c r="I1531" s="21" t="s">
        <v>2850</v>
      </c>
    </row>
    <row r="1532" spans="8:9">
      <c r="H1532" s="20" t="s">
        <v>1571</v>
      </c>
      <c r="I1532" s="21" t="s">
        <v>2850</v>
      </c>
    </row>
    <row r="1533" spans="8:9">
      <c r="H1533" s="20" t="s">
        <v>1572</v>
      </c>
      <c r="I1533" s="22" t="s">
        <v>2849</v>
      </c>
    </row>
    <row r="1534" spans="8:9">
      <c r="H1534" s="20" t="s">
        <v>1573</v>
      </c>
      <c r="I1534" s="22" t="s">
        <v>2848</v>
      </c>
    </row>
    <row r="1535" spans="8:9">
      <c r="H1535" s="20" t="s">
        <v>1574</v>
      </c>
      <c r="I1535" s="21" t="s">
        <v>2848</v>
      </c>
    </row>
    <row r="1536" spans="8:9">
      <c r="H1536" s="20" t="s">
        <v>1575</v>
      </c>
      <c r="I1536" s="22" t="s">
        <v>2849</v>
      </c>
    </row>
    <row r="1537" spans="8:9">
      <c r="H1537" s="20" t="s">
        <v>1576</v>
      </c>
      <c r="I1537" s="22" t="s">
        <v>2848</v>
      </c>
    </row>
    <row r="1538" spans="8:9">
      <c r="H1538" s="20" t="s">
        <v>1577</v>
      </c>
      <c r="I1538" s="22" t="s">
        <v>2852</v>
      </c>
    </row>
    <row r="1539" spans="8:9">
      <c r="H1539" s="20" t="s">
        <v>1578</v>
      </c>
      <c r="I1539" s="21" t="s">
        <v>2852</v>
      </c>
    </row>
    <row r="1540" spans="8:9">
      <c r="H1540" s="20" t="s">
        <v>1579</v>
      </c>
      <c r="I1540" s="22" t="s">
        <v>2850</v>
      </c>
    </row>
    <row r="1541" spans="8:9">
      <c r="H1541" s="20" t="s">
        <v>1580</v>
      </c>
      <c r="I1541" s="22" t="s">
        <v>2850</v>
      </c>
    </row>
    <row r="1542" spans="8:9">
      <c r="H1542" s="20" t="s">
        <v>1581</v>
      </c>
      <c r="I1542" s="22" t="s">
        <v>2850</v>
      </c>
    </row>
    <row r="1543" spans="8:9">
      <c r="H1543" s="20" t="s">
        <v>1582</v>
      </c>
      <c r="I1543" s="22" t="s">
        <v>2850</v>
      </c>
    </row>
    <row r="1544" spans="8:9">
      <c r="H1544" s="20" t="s">
        <v>1583</v>
      </c>
      <c r="I1544" s="22" t="s">
        <v>2850</v>
      </c>
    </row>
    <row r="1545" spans="8:9">
      <c r="H1545" s="20" t="s">
        <v>1584</v>
      </c>
      <c r="I1545" s="22" t="s">
        <v>2850</v>
      </c>
    </row>
    <row r="1546" spans="8:9">
      <c r="H1546" s="20" t="s">
        <v>1585</v>
      </c>
      <c r="I1546" s="22" t="s">
        <v>2850</v>
      </c>
    </row>
    <row r="1547" spans="8:9">
      <c r="H1547" s="20" t="s">
        <v>1586</v>
      </c>
      <c r="I1547" s="21" t="s">
        <v>2850</v>
      </c>
    </row>
    <row r="1548" spans="8:9">
      <c r="H1548" s="20" t="s">
        <v>1587</v>
      </c>
      <c r="I1548" s="22" t="s">
        <v>2852</v>
      </c>
    </row>
    <row r="1549" spans="8:9">
      <c r="H1549" s="20" t="s">
        <v>1588</v>
      </c>
      <c r="I1549" s="21" t="s">
        <v>2852</v>
      </c>
    </row>
    <row r="1550" spans="8:9">
      <c r="H1550" s="20" t="s">
        <v>1589</v>
      </c>
      <c r="I1550" s="22" t="s">
        <v>2852</v>
      </c>
    </row>
    <row r="1551" spans="8:9">
      <c r="H1551" s="20" t="s">
        <v>1590</v>
      </c>
      <c r="I1551" s="22" t="s">
        <v>2849</v>
      </c>
    </row>
    <row r="1552" spans="8:9">
      <c r="H1552" s="20" t="s">
        <v>1591</v>
      </c>
      <c r="I1552" s="22" t="s">
        <v>2848</v>
      </c>
    </row>
    <row r="1553" spans="8:9">
      <c r="H1553" s="20" t="s">
        <v>1592</v>
      </c>
      <c r="I1553" s="22" t="s">
        <v>2849</v>
      </c>
    </row>
    <row r="1554" spans="8:9">
      <c r="H1554" s="20" t="s">
        <v>1593</v>
      </c>
      <c r="I1554" s="22" t="s">
        <v>2849</v>
      </c>
    </row>
    <row r="1555" spans="8:9">
      <c r="H1555" s="20" t="s">
        <v>1594</v>
      </c>
      <c r="I1555" s="21" t="s">
        <v>2848</v>
      </c>
    </row>
    <row r="1556" spans="8:9">
      <c r="H1556" s="20" t="s">
        <v>1595</v>
      </c>
      <c r="I1556" s="21" t="s">
        <v>2848</v>
      </c>
    </row>
    <row r="1557" spans="8:9">
      <c r="H1557" s="20" t="s">
        <v>1596</v>
      </c>
      <c r="I1557" s="22" t="s">
        <v>2849</v>
      </c>
    </row>
    <row r="1558" spans="8:9">
      <c r="H1558" s="20" t="s">
        <v>1597</v>
      </c>
      <c r="I1558" s="21" t="s">
        <v>2850</v>
      </c>
    </row>
    <row r="1559" spans="8:9">
      <c r="H1559" s="20" t="s">
        <v>1598</v>
      </c>
      <c r="I1559" s="21" t="s">
        <v>2850</v>
      </c>
    </row>
    <row r="1560" spans="8:9">
      <c r="H1560" s="20" t="s">
        <v>1599</v>
      </c>
      <c r="I1560" s="21" t="s">
        <v>2852</v>
      </c>
    </row>
    <row r="1561" spans="8:9">
      <c r="H1561" s="20" t="s">
        <v>1600</v>
      </c>
      <c r="I1561" s="22" t="s">
        <v>2852</v>
      </c>
    </row>
    <row r="1562" spans="8:9">
      <c r="H1562" s="20" t="s">
        <v>1601</v>
      </c>
      <c r="I1562" s="22" t="s">
        <v>2852</v>
      </c>
    </row>
    <row r="1563" spans="8:9">
      <c r="H1563" s="20" t="s">
        <v>1602</v>
      </c>
      <c r="I1563" s="22" t="s">
        <v>2852</v>
      </c>
    </row>
    <row r="1564" spans="8:9">
      <c r="H1564" s="20" t="s">
        <v>1603</v>
      </c>
      <c r="I1564" s="21" t="s">
        <v>2852</v>
      </c>
    </row>
    <row r="1565" spans="8:9">
      <c r="H1565" s="20" t="s">
        <v>1604</v>
      </c>
      <c r="I1565" s="21" t="s">
        <v>2850</v>
      </c>
    </row>
    <row r="1566" spans="8:9">
      <c r="H1566" s="20" t="s">
        <v>1605</v>
      </c>
      <c r="I1566" s="22" t="s">
        <v>2849</v>
      </c>
    </row>
    <row r="1567" spans="8:9">
      <c r="H1567" s="20" t="s">
        <v>1606</v>
      </c>
      <c r="I1567" s="21" t="s">
        <v>2852</v>
      </c>
    </row>
    <row r="1568" spans="8:9">
      <c r="H1568" s="20" t="s">
        <v>1607</v>
      </c>
      <c r="I1568" s="22" t="s">
        <v>2849</v>
      </c>
    </row>
    <row r="1569" spans="8:9">
      <c r="H1569" s="20" t="s">
        <v>1608</v>
      </c>
      <c r="I1569" s="22" t="s">
        <v>2849</v>
      </c>
    </row>
    <row r="1570" spans="8:9">
      <c r="H1570" s="20" t="s">
        <v>1609</v>
      </c>
      <c r="I1570" s="22" t="s">
        <v>2852</v>
      </c>
    </row>
    <row r="1571" spans="8:9">
      <c r="H1571" s="20" t="s">
        <v>1610</v>
      </c>
      <c r="I1571" s="21" t="s">
        <v>2848</v>
      </c>
    </row>
    <row r="1572" spans="8:9">
      <c r="H1572" s="20" t="s">
        <v>1611</v>
      </c>
      <c r="I1572" s="21" t="s">
        <v>2852</v>
      </c>
    </row>
    <row r="1573" spans="8:9">
      <c r="H1573" s="20" t="s">
        <v>1612</v>
      </c>
      <c r="I1573" s="21" t="s">
        <v>2852</v>
      </c>
    </row>
    <row r="1574" spans="8:9">
      <c r="H1574" s="20" t="s">
        <v>1613</v>
      </c>
      <c r="I1574" s="22" t="s">
        <v>2848</v>
      </c>
    </row>
    <row r="1575" spans="8:9">
      <c r="H1575" s="20" t="s">
        <v>1614</v>
      </c>
      <c r="I1575" s="22" t="s">
        <v>2849</v>
      </c>
    </row>
    <row r="1576" spans="8:9">
      <c r="H1576" s="20" t="s">
        <v>1615</v>
      </c>
      <c r="I1576" s="22" t="s">
        <v>2849</v>
      </c>
    </row>
    <row r="1577" spans="8:9">
      <c r="H1577" s="20" t="s">
        <v>1616</v>
      </c>
      <c r="I1577" s="22" t="s">
        <v>2848</v>
      </c>
    </row>
    <row r="1578" spans="8:9">
      <c r="H1578" s="20" t="s">
        <v>1617</v>
      </c>
      <c r="I1578" s="22" t="s">
        <v>2849</v>
      </c>
    </row>
    <row r="1579" spans="8:9">
      <c r="H1579" s="20" t="s">
        <v>1618</v>
      </c>
      <c r="I1579" s="22" t="s">
        <v>2849</v>
      </c>
    </row>
    <row r="1580" spans="8:9">
      <c r="H1580" s="20" t="s">
        <v>1619</v>
      </c>
      <c r="I1580" s="22" t="s">
        <v>2849</v>
      </c>
    </row>
    <row r="1581" spans="8:9">
      <c r="H1581" s="20" t="s">
        <v>1620</v>
      </c>
      <c r="I1581" s="22" t="s">
        <v>2848</v>
      </c>
    </row>
    <row r="1582" spans="8:9">
      <c r="H1582" s="20" t="s">
        <v>1621</v>
      </c>
      <c r="I1582" s="22" t="s">
        <v>2849</v>
      </c>
    </row>
    <row r="1583" spans="8:9">
      <c r="H1583" s="20" t="s">
        <v>1622</v>
      </c>
      <c r="I1583" s="22" t="s">
        <v>2849</v>
      </c>
    </row>
    <row r="1584" spans="8:9">
      <c r="H1584" s="20" t="s">
        <v>1623</v>
      </c>
      <c r="I1584" s="21" t="s">
        <v>2849</v>
      </c>
    </row>
    <row r="1585" spans="8:9">
      <c r="H1585" s="20" t="s">
        <v>1624</v>
      </c>
      <c r="I1585" s="21" t="s">
        <v>2850</v>
      </c>
    </row>
    <row r="1586" spans="8:9">
      <c r="H1586" s="20" t="s">
        <v>1625</v>
      </c>
      <c r="I1586" s="21" t="s">
        <v>2850</v>
      </c>
    </row>
    <row r="1587" spans="8:9">
      <c r="H1587" s="20" t="s">
        <v>1626</v>
      </c>
      <c r="I1587" s="21" t="s">
        <v>2850</v>
      </c>
    </row>
    <row r="1588" spans="8:9">
      <c r="H1588" s="20" t="s">
        <v>1627</v>
      </c>
      <c r="I1588" s="22" t="s">
        <v>2849</v>
      </c>
    </row>
    <row r="1589" spans="8:9">
      <c r="H1589" s="20" t="s">
        <v>1628</v>
      </c>
      <c r="I1589" s="22" t="s">
        <v>2849</v>
      </c>
    </row>
    <row r="1590" spans="8:9">
      <c r="H1590" s="20" t="s">
        <v>1629</v>
      </c>
      <c r="I1590" s="22" t="s">
        <v>2849</v>
      </c>
    </row>
    <row r="1591" spans="8:9">
      <c r="H1591" s="262" t="s">
        <v>1630</v>
      </c>
      <c r="I1591" s="22" t="s">
        <v>2849</v>
      </c>
    </row>
    <row r="1592" spans="8:9">
      <c r="H1592" s="262" t="s">
        <v>1631</v>
      </c>
      <c r="I1592" s="22" t="s">
        <v>2849</v>
      </c>
    </row>
    <row r="1593" spans="8:9">
      <c r="H1593" s="20" t="s">
        <v>1632</v>
      </c>
      <c r="I1593" s="21" t="s">
        <v>2852</v>
      </c>
    </row>
    <row r="1594" spans="8:9">
      <c r="H1594" s="20" t="s">
        <v>1633</v>
      </c>
      <c r="I1594" s="21" t="s">
        <v>2848</v>
      </c>
    </row>
    <row r="1595" spans="8:9">
      <c r="H1595" s="20" t="s">
        <v>1634</v>
      </c>
      <c r="I1595" s="21" t="s">
        <v>2849</v>
      </c>
    </row>
    <row r="1596" spans="8:9">
      <c r="H1596" s="20" t="s">
        <v>1635</v>
      </c>
      <c r="I1596" s="22" t="s">
        <v>2849</v>
      </c>
    </row>
    <row r="1597" spans="8:9">
      <c r="H1597" s="20" t="s">
        <v>1636</v>
      </c>
      <c r="I1597" s="22" t="s">
        <v>2850</v>
      </c>
    </row>
    <row r="1598" spans="8:9">
      <c r="H1598" s="20" t="s">
        <v>1637</v>
      </c>
      <c r="I1598" s="22" t="s">
        <v>2850</v>
      </c>
    </row>
    <row r="1599" spans="8:9">
      <c r="H1599" s="20" t="s">
        <v>1638</v>
      </c>
      <c r="I1599" s="21" t="s">
        <v>2850</v>
      </c>
    </row>
    <row r="1600" spans="8:9">
      <c r="H1600" s="20" t="s">
        <v>1639</v>
      </c>
      <c r="I1600" s="22" t="s">
        <v>2849</v>
      </c>
    </row>
    <row r="1601" spans="8:9">
      <c r="H1601" s="20" t="s">
        <v>1640</v>
      </c>
      <c r="I1601" s="22" t="s">
        <v>2849</v>
      </c>
    </row>
    <row r="1602" spans="8:9">
      <c r="H1602" s="20" t="s">
        <v>1641</v>
      </c>
      <c r="I1602" s="22" t="s">
        <v>2849</v>
      </c>
    </row>
    <row r="1603" spans="8:9">
      <c r="H1603" s="20" t="s">
        <v>1642</v>
      </c>
      <c r="I1603" s="22" t="s">
        <v>2849</v>
      </c>
    </row>
    <row r="1604" spans="8:9">
      <c r="H1604" s="20" t="s">
        <v>1643</v>
      </c>
      <c r="I1604" s="21" t="s">
        <v>2849</v>
      </c>
    </row>
    <row r="1605" spans="8:9">
      <c r="H1605" s="20" t="s">
        <v>1644</v>
      </c>
      <c r="I1605" s="22" t="s">
        <v>2849</v>
      </c>
    </row>
    <row r="1606" spans="8:9">
      <c r="H1606" s="20" t="s">
        <v>1645</v>
      </c>
      <c r="I1606" s="21" t="s">
        <v>2852</v>
      </c>
    </row>
    <row r="1607" spans="8:9">
      <c r="H1607" s="20" t="s">
        <v>1646</v>
      </c>
      <c r="I1607" s="22" t="s">
        <v>2849</v>
      </c>
    </row>
    <row r="1608" spans="8:9">
      <c r="H1608" s="20" t="s">
        <v>1647</v>
      </c>
      <c r="I1608" s="22" t="s">
        <v>2848</v>
      </c>
    </row>
    <row r="1609" spans="8:9">
      <c r="H1609" s="20" t="s">
        <v>1648</v>
      </c>
      <c r="I1609" s="22" t="s">
        <v>2849</v>
      </c>
    </row>
    <row r="1610" spans="8:9">
      <c r="H1610" s="20" t="s">
        <v>1649</v>
      </c>
      <c r="I1610" s="22" t="s">
        <v>2849</v>
      </c>
    </row>
    <row r="1611" spans="8:9">
      <c r="H1611" s="20" t="s">
        <v>1650</v>
      </c>
      <c r="I1611" s="22" t="s">
        <v>2849</v>
      </c>
    </row>
    <row r="1612" spans="8:9">
      <c r="H1612" s="20" t="s">
        <v>1651</v>
      </c>
      <c r="I1612" s="22" t="s">
        <v>2849</v>
      </c>
    </row>
    <row r="1613" spans="8:9">
      <c r="H1613" s="20" t="s">
        <v>1652</v>
      </c>
      <c r="I1613" s="21" t="s">
        <v>2849</v>
      </c>
    </row>
    <row r="1614" spans="8:9">
      <c r="H1614" s="20" t="s">
        <v>1653</v>
      </c>
      <c r="I1614" s="22" t="s">
        <v>2848</v>
      </c>
    </row>
    <row r="1615" spans="8:9">
      <c r="H1615" s="20" t="s">
        <v>1654</v>
      </c>
      <c r="I1615" s="22" t="s">
        <v>2848</v>
      </c>
    </row>
    <row r="1616" spans="8:9">
      <c r="H1616" s="20" t="s">
        <v>1655</v>
      </c>
      <c r="I1616" s="22" t="s">
        <v>2849</v>
      </c>
    </row>
    <row r="1617" spans="8:9">
      <c r="H1617" s="20" t="s">
        <v>1656</v>
      </c>
      <c r="I1617" s="22" t="s">
        <v>2848</v>
      </c>
    </row>
    <row r="1618" spans="8:9">
      <c r="H1618" s="262" t="s">
        <v>1657</v>
      </c>
      <c r="I1618" s="22" t="s">
        <v>2849</v>
      </c>
    </row>
    <row r="1619" spans="8:9">
      <c r="H1619" s="20" t="s">
        <v>1658</v>
      </c>
      <c r="I1619" s="22" t="s">
        <v>2850</v>
      </c>
    </row>
    <row r="1620" spans="8:9">
      <c r="H1620" s="20" t="s">
        <v>1659</v>
      </c>
      <c r="I1620" s="22" t="s">
        <v>2848</v>
      </c>
    </row>
    <row r="1621" spans="8:9">
      <c r="H1621" s="20" t="s">
        <v>1660</v>
      </c>
      <c r="I1621" s="21" t="s">
        <v>2849</v>
      </c>
    </row>
    <row r="1622" spans="8:9">
      <c r="H1622" s="20" t="s">
        <v>1661</v>
      </c>
      <c r="I1622" s="22" t="s">
        <v>2852</v>
      </c>
    </row>
    <row r="1623" spans="8:9">
      <c r="H1623" s="20" t="s">
        <v>1662</v>
      </c>
      <c r="I1623" s="21" t="s">
        <v>2852</v>
      </c>
    </row>
    <row r="1624" spans="8:9">
      <c r="H1624" s="20" t="s">
        <v>1663</v>
      </c>
      <c r="I1624" s="22" t="s">
        <v>2852</v>
      </c>
    </row>
    <row r="1625" spans="8:9">
      <c r="H1625" s="262" t="s">
        <v>1664</v>
      </c>
      <c r="I1625" s="22" t="s">
        <v>2849</v>
      </c>
    </row>
    <row r="1626" spans="8:9">
      <c r="H1626" s="20" t="s">
        <v>1665</v>
      </c>
      <c r="I1626" s="21" t="s">
        <v>2849</v>
      </c>
    </row>
    <row r="1627" spans="8:9">
      <c r="H1627" s="20" t="s">
        <v>1666</v>
      </c>
      <c r="I1627" s="22" t="s">
        <v>2849</v>
      </c>
    </row>
    <row r="1628" spans="8:9">
      <c r="H1628" s="20" t="s">
        <v>1667</v>
      </c>
      <c r="I1628" s="22" t="s">
        <v>2848</v>
      </c>
    </row>
    <row r="1629" spans="8:9">
      <c r="H1629" s="20" t="s">
        <v>1668</v>
      </c>
      <c r="I1629" s="21" t="s">
        <v>2848</v>
      </c>
    </row>
    <row r="1630" spans="8:9">
      <c r="H1630" s="20" t="s">
        <v>1669</v>
      </c>
      <c r="I1630" s="21" t="s">
        <v>2852</v>
      </c>
    </row>
    <row r="1631" spans="8:9">
      <c r="H1631" s="20" t="s">
        <v>1670</v>
      </c>
      <c r="I1631" s="22" t="s">
        <v>2849</v>
      </c>
    </row>
    <row r="1632" spans="8:9">
      <c r="H1632" s="20" t="s">
        <v>1671</v>
      </c>
      <c r="I1632" s="22" t="s">
        <v>2848</v>
      </c>
    </row>
    <row r="1633" spans="8:9">
      <c r="H1633" s="20" t="s">
        <v>1672</v>
      </c>
      <c r="I1633" s="22" t="s">
        <v>2849</v>
      </c>
    </row>
    <row r="1634" spans="8:9">
      <c r="H1634" s="20" t="s">
        <v>1673</v>
      </c>
      <c r="I1634" s="22" t="s">
        <v>2850</v>
      </c>
    </row>
    <row r="1635" spans="8:9">
      <c r="H1635" s="20" t="s">
        <v>1674</v>
      </c>
      <c r="I1635" s="22" t="s">
        <v>2850</v>
      </c>
    </row>
    <row r="1636" spans="8:9">
      <c r="H1636" s="20" t="s">
        <v>1675</v>
      </c>
      <c r="I1636" s="22" t="s">
        <v>2850</v>
      </c>
    </row>
    <row r="1637" spans="8:9">
      <c r="H1637" s="20" t="s">
        <v>1676</v>
      </c>
      <c r="I1637" s="21" t="s">
        <v>2850</v>
      </c>
    </row>
    <row r="1638" spans="8:9">
      <c r="H1638" s="20" t="s">
        <v>1677</v>
      </c>
      <c r="I1638" s="21" t="s">
        <v>2850</v>
      </c>
    </row>
    <row r="1639" spans="8:9">
      <c r="H1639" s="20" t="s">
        <v>1678</v>
      </c>
      <c r="I1639" s="22" t="s">
        <v>2848</v>
      </c>
    </row>
    <row r="1640" spans="8:9">
      <c r="H1640" s="20" t="s">
        <v>1679</v>
      </c>
      <c r="I1640" s="22" t="s">
        <v>2849</v>
      </c>
    </row>
    <row r="1641" spans="8:9">
      <c r="H1641" s="20" t="s">
        <v>1680</v>
      </c>
      <c r="I1641" s="22" t="s">
        <v>2849</v>
      </c>
    </row>
    <row r="1642" spans="8:9">
      <c r="H1642" s="20" t="s">
        <v>1681</v>
      </c>
      <c r="I1642" s="21" t="s">
        <v>2852</v>
      </c>
    </row>
    <row r="1643" spans="8:9">
      <c r="H1643" s="20" t="s">
        <v>1682</v>
      </c>
      <c r="I1643" s="22" t="s">
        <v>2848</v>
      </c>
    </row>
    <row r="1644" spans="8:9">
      <c r="H1644" s="20" t="s">
        <v>1683</v>
      </c>
      <c r="I1644" s="22" t="s">
        <v>2848</v>
      </c>
    </row>
    <row r="1645" spans="8:9">
      <c r="H1645" s="20" t="s">
        <v>1684</v>
      </c>
      <c r="I1645" s="22" t="s">
        <v>2848</v>
      </c>
    </row>
    <row r="1646" spans="8:9">
      <c r="H1646" s="20" t="s">
        <v>1685</v>
      </c>
      <c r="I1646" s="22" t="s">
        <v>2850</v>
      </c>
    </row>
    <row r="1647" spans="8:9">
      <c r="H1647" s="20" t="s">
        <v>1686</v>
      </c>
      <c r="I1647" s="22" t="s">
        <v>2849</v>
      </c>
    </row>
    <row r="1648" spans="8:9">
      <c r="H1648" s="20" t="s">
        <v>1687</v>
      </c>
      <c r="I1648" s="22" t="s">
        <v>2850</v>
      </c>
    </row>
    <row r="1649" spans="8:9">
      <c r="H1649" s="20" t="s">
        <v>1688</v>
      </c>
      <c r="I1649" s="22" t="s">
        <v>2849</v>
      </c>
    </row>
    <row r="1650" spans="8:9">
      <c r="H1650" s="20" t="s">
        <v>1689</v>
      </c>
      <c r="I1650" s="21" t="s">
        <v>2849</v>
      </c>
    </row>
    <row r="1651" spans="8:9">
      <c r="H1651" s="20" t="s">
        <v>1690</v>
      </c>
      <c r="I1651" s="21" t="s">
        <v>2852</v>
      </c>
    </row>
    <row r="1652" spans="8:9">
      <c r="H1652" s="20" t="s">
        <v>1691</v>
      </c>
      <c r="I1652" s="21" t="s">
        <v>2849</v>
      </c>
    </row>
    <row r="1653" spans="8:9">
      <c r="H1653" s="20" t="s">
        <v>1692</v>
      </c>
      <c r="I1653" s="21" t="s">
        <v>2850</v>
      </c>
    </row>
    <row r="1654" spans="8:9">
      <c r="H1654" s="20" t="s">
        <v>1693</v>
      </c>
      <c r="I1654" s="22" t="s">
        <v>2849</v>
      </c>
    </row>
    <row r="1655" spans="8:9">
      <c r="H1655" s="20" t="s">
        <v>1694</v>
      </c>
      <c r="I1655" s="22" t="s">
        <v>2849</v>
      </c>
    </row>
    <row r="1656" spans="8:9">
      <c r="H1656" s="20" t="s">
        <v>1695</v>
      </c>
      <c r="I1656" s="22" t="s">
        <v>2849</v>
      </c>
    </row>
    <row r="1657" spans="8:9">
      <c r="H1657" s="20" t="s">
        <v>1696</v>
      </c>
      <c r="I1657" s="21" t="s">
        <v>2849</v>
      </c>
    </row>
    <row r="1658" spans="8:9">
      <c r="H1658" s="20" t="s">
        <v>1697</v>
      </c>
      <c r="I1658" s="22" t="s">
        <v>2849</v>
      </c>
    </row>
    <row r="1659" spans="8:9">
      <c r="H1659" s="20" t="s">
        <v>1698</v>
      </c>
      <c r="I1659" s="22" t="s">
        <v>2849</v>
      </c>
    </row>
    <row r="1660" spans="8:9">
      <c r="H1660" s="20" t="s">
        <v>1699</v>
      </c>
      <c r="I1660" s="21" t="s">
        <v>2849</v>
      </c>
    </row>
    <row r="1661" spans="8:9">
      <c r="H1661" s="20" t="s">
        <v>1700</v>
      </c>
      <c r="I1661" s="22" t="s">
        <v>2848</v>
      </c>
    </row>
    <row r="1662" spans="8:9">
      <c r="H1662" s="20" t="s">
        <v>1701</v>
      </c>
      <c r="I1662" s="21" t="s">
        <v>2849</v>
      </c>
    </row>
    <row r="1663" spans="8:9">
      <c r="H1663" s="20" t="s">
        <v>1702</v>
      </c>
      <c r="I1663" s="21" t="s">
        <v>2850</v>
      </c>
    </row>
    <row r="1664" spans="8:9">
      <c r="H1664" s="20" t="s">
        <v>1703</v>
      </c>
      <c r="I1664" s="21" t="s">
        <v>2850</v>
      </c>
    </row>
    <row r="1665" spans="8:9">
      <c r="H1665" s="20" t="s">
        <v>1704</v>
      </c>
      <c r="I1665" s="22" t="s">
        <v>2852</v>
      </c>
    </row>
    <row r="1666" spans="8:9">
      <c r="H1666" s="20" t="s">
        <v>1705</v>
      </c>
      <c r="I1666" s="22" t="s">
        <v>2852</v>
      </c>
    </row>
    <row r="1667" spans="8:9">
      <c r="H1667" s="20" t="s">
        <v>1706</v>
      </c>
      <c r="I1667" s="22" t="s">
        <v>2852</v>
      </c>
    </row>
    <row r="1668" spans="8:9">
      <c r="H1668" s="20" t="s">
        <v>1707</v>
      </c>
      <c r="I1668" s="22" t="s">
        <v>2852</v>
      </c>
    </row>
    <row r="1669" spans="8:9">
      <c r="H1669" s="20" t="s">
        <v>1708</v>
      </c>
      <c r="I1669" s="22" t="s">
        <v>2849</v>
      </c>
    </row>
    <row r="1670" spans="8:9">
      <c r="H1670" s="20" t="s">
        <v>1709</v>
      </c>
      <c r="I1670" s="22" t="s">
        <v>2848</v>
      </c>
    </row>
    <row r="1671" spans="8:9">
      <c r="H1671" s="20" t="s">
        <v>1710</v>
      </c>
      <c r="I1671" s="22" t="s">
        <v>2849</v>
      </c>
    </row>
    <row r="1672" spans="8:9">
      <c r="H1672" s="20" t="s">
        <v>1711</v>
      </c>
      <c r="I1672" s="21" t="s">
        <v>2849</v>
      </c>
    </row>
    <row r="1673" spans="8:9">
      <c r="H1673" s="20" t="s">
        <v>1712</v>
      </c>
      <c r="I1673" s="22" t="s">
        <v>2848</v>
      </c>
    </row>
    <row r="1674" spans="8:9">
      <c r="H1674" s="20" t="s">
        <v>1713</v>
      </c>
      <c r="I1674" s="22" t="s">
        <v>2848</v>
      </c>
    </row>
    <row r="1675" spans="8:9">
      <c r="H1675" s="20" t="s">
        <v>1714</v>
      </c>
      <c r="I1675" s="22" t="s">
        <v>2856</v>
      </c>
    </row>
    <row r="1676" spans="8:9">
      <c r="H1676" s="20" t="s">
        <v>1715</v>
      </c>
      <c r="I1676" s="22" t="s">
        <v>2856</v>
      </c>
    </row>
    <row r="1677" spans="8:9">
      <c r="H1677" s="20" t="s">
        <v>1716</v>
      </c>
      <c r="I1677" s="22" t="s">
        <v>2856</v>
      </c>
    </row>
    <row r="1678" spans="8:9">
      <c r="H1678" s="20" t="s">
        <v>1717</v>
      </c>
      <c r="I1678" s="22" t="s">
        <v>2849</v>
      </c>
    </row>
    <row r="1679" spans="8:9">
      <c r="H1679" s="20" t="s">
        <v>1718</v>
      </c>
      <c r="I1679" s="22" t="s">
        <v>2852</v>
      </c>
    </row>
    <row r="1680" spans="8:9">
      <c r="H1680" s="20" t="s">
        <v>1719</v>
      </c>
      <c r="I1680" s="22" t="s">
        <v>2852</v>
      </c>
    </row>
    <row r="1681" spans="8:9">
      <c r="H1681" s="20" t="s">
        <v>1720</v>
      </c>
      <c r="I1681" s="21" t="s">
        <v>2852</v>
      </c>
    </row>
    <row r="1682" spans="8:9">
      <c r="H1682" s="20" t="s">
        <v>1721</v>
      </c>
      <c r="I1682" s="22" t="s">
        <v>2852</v>
      </c>
    </row>
    <row r="1683" spans="8:9">
      <c r="H1683" s="20" t="s">
        <v>1722</v>
      </c>
      <c r="I1683" s="22" t="s">
        <v>2852</v>
      </c>
    </row>
    <row r="1684" spans="8:9">
      <c r="H1684" s="20" t="s">
        <v>1723</v>
      </c>
      <c r="I1684" s="21" t="s">
        <v>2852</v>
      </c>
    </row>
    <row r="1685" spans="8:9">
      <c r="H1685" s="20" t="s">
        <v>1724</v>
      </c>
      <c r="I1685" s="21" t="s">
        <v>2850</v>
      </c>
    </row>
    <row r="1686" spans="8:9">
      <c r="H1686" s="20" t="s">
        <v>1725</v>
      </c>
      <c r="I1686" s="21" t="s">
        <v>2850</v>
      </c>
    </row>
    <row r="1687" spans="8:9">
      <c r="H1687" s="20" t="s">
        <v>1726</v>
      </c>
      <c r="I1687" s="22" t="s">
        <v>2849</v>
      </c>
    </row>
    <row r="1688" spans="8:9">
      <c r="H1688" s="20" t="s">
        <v>1727</v>
      </c>
      <c r="I1688" s="22" t="s">
        <v>2849</v>
      </c>
    </row>
    <row r="1689" spans="8:9">
      <c r="H1689" s="20" t="s">
        <v>1728</v>
      </c>
      <c r="I1689" s="22" t="s">
        <v>2849</v>
      </c>
    </row>
    <row r="1690" spans="8:9">
      <c r="H1690" s="20" t="s">
        <v>1729</v>
      </c>
      <c r="I1690" s="22" t="s">
        <v>2849</v>
      </c>
    </row>
    <row r="1691" spans="8:9">
      <c r="H1691" s="20" t="s">
        <v>1730</v>
      </c>
      <c r="I1691" s="22" t="s">
        <v>2849</v>
      </c>
    </row>
    <row r="1692" spans="8:9">
      <c r="H1692" s="20" t="s">
        <v>1731</v>
      </c>
      <c r="I1692" s="21" t="s">
        <v>2849</v>
      </c>
    </row>
    <row r="1693" spans="8:9">
      <c r="H1693" s="20" t="s">
        <v>1732</v>
      </c>
      <c r="I1693" s="22" t="s">
        <v>2848</v>
      </c>
    </row>
    <row r="1694" spans="8:9">
      <c r="H1694" s="20" t="s">
        <v>1733</v>
      </c>
      <c r="I1694" s="22" t="s">
        <v>2849</v>
      </c>
    </row>
    <row r="1695" spans="8:9">
      <c r="H1695" s="20" t="s">
        <v>1734</v>
      </c>
      <c r="I1695" s="21" t="s">
        <v>2849</v>
      </c>
    </row>
    <row r="1696" spans="8:9">
      <c r="H1696" s="20" t="s">
        <v>1735</v>
      </c>
      <c r="I1696" s="22" t="s">
        <v>2848</v>
      </c>
    </row>
    <row r="1697" spans="8:9">
      <c r="H1697" s="20" t="s">
        <v>1736</v>
      </c>
      <c r="I1697" s="22" t="s">
        <v>2848</v>
      </c>
    </row>
    <row r="1698" spans="8:9">
      <c r="H1698" s="20" t="s">
        <v>1737</v>
      </c>
      <c r="I1698" s="22" t="s">
        <v>2849</v>
      </c>
    </row>
    <row r="1699" spans="8:9">
      <c r="H1699" s="20" t="s">
        <v>1738</v>
      </c>
      <c r="I1699" s="22" t="s">
        <v>2848</v>
      </c>
    </row>
    <row r="1700" spans="8:9">
      <c r="H1700" s="20" t="s">
        <v>1739</v>
      </c>
      <c r="I1700" s="22" t="s">
        <v>2852</v>
      </c>
    </row>
    <row r="1701" spans="8:9">
      <c r="H1701" s="20" t="s">
        <v>1740</v>
      </c>
      <c r="I1701" s="21" t="s">
        <v>2852</v>
      </c>
    </row>
    <row r="1702" spans="8:9">
      <c r="H1702" s="20" t="s">
        <v>1741</v>
      </c>
      <c r="I1702" s="22" t="s">
        <v>2852</v>
      </c>
    </row>
    <row r="1703" spans="8:9">
      <c r="H1703" s="20" t="s">
        <v>1742</v>
      </c>
      <c r="I1703" s="22" t="s">
        <v>2852</v>
      </c>
    </row>
    <row r="1704" spans="8:9">
      <c r="H1704" s="20" t="s">
        <v>1743</v>
      </c>
      <c r="I1704" s="22" t="s">
        <v>2852</v>
      </c>
    </row>
    <row r="1705" spans="8:9">
      <c r="H1705" s="20" t="s">
        <v>1744</v>
      </c>
      <c r="I1705" s="22" t="s">
        <v>2852</v>
      </c>
    </row>
    <row r="1706" spans="8:9">
      <c r="H1706" s="20" t="s">
        <v>1745</v>
      </c>
      <c r="I1706" s="21" t="s">
        <v>2852</v>
      </c>
    </row>
    <row r="1707" spans="8:9">
      <c r="H1707" s="20" t="s">
        <v>1746</v>
      </c>
      <c r="I1707" s="21" t="s">
        <v>2852</v>
      </c>
    </row>
    <row r="1708" spans="8:9">
      <c r="H1708" s="20" t="s">
        <v>1747</v>
      </c>
      <c r="I1708" s="22" t="s">
        <v>2852</v>
      </c>
    </row>
    <row r="1709" spans="8:9">
      <c r="H1709" s="20" t="s">
        <v>1748</v>
      </c>
      <c r="I1709" s="22" t="s">
        <v>2852</v>
      </c>
    </row>
    <row r="1710" spans="8:9">
      <c r="H1710" s="20" t="s">
        <v>1749</v>
      </c>
      <c r="I1710" s="22" t="s">
        <v>2849</v>
      </c>
    </row>
    <row r="1711" spans="8:9">
      <c r="H1711" s="20" t="s">
        <v>1750</v>
      </c>
      <c r="I1711" s="21" t="s">
        <v>2852</v>
      </c>
    </row>
    <row r="1712" spans="8:9">
      <c r="H1712" s="20" t="s">
        <v>1751</v>
      </c>
      <c r="I1712" s="21" t="s">
        <v>2852</v>
      </c>
    </row>
    <row r="1713" spans="8:9">
      <c r="H1713" s="20" t="s">
        <v>1752</v>
      </c>
      <c r="I1713" s="21" t="s">
        <v>2852</v>
      </c>
    </row>
    <row r="1714" spans="8:9">
      <c r="H1714" s="20" t="s">
        <v>1753</v>
      </c>
      <c r="I1714" s="21" t="s">
        <v>2852</v>
      </c>
    </row>
    <row r="1715" spans="8:9">
      <c r="H1715" s="20" t="s">
        <v>1754</v>
      </c>
      <c r="I1715" s="22" t="s">
        <v>2848</v>
      </c>
    </row>
    <row r="1716" spans="8:9">
      <c r="H1716" s="20" t="s">
        <v>1755</v>
      </c>
      <c r="I1716" s="22" t="s">
        <v>2849</v>
      </c>
    </row>
    <row r="1717" spans="8:9">
      <c r="H1717" s="20" t="s">
        <v>1756</v>
      </c>
      <c r="I1717" s="22" t="s">
        <v>2849</v>
      </c>
    </row>
    <row r="1718" spans="8:9">
      <c r="H1718" s="20" t="s">
        <v>1757</v>
      </c>
      <c r="I1718" s="22" t="s">
        <v>2848</v>
      </c>
    </row>
    <row r="1719" spans="8:9">
      <c r="H1719" s="20" t="s">
        <v>1758</v>
      </c>
      <c r="I1719" s="22" t="s">
        <v>2848</v>
      </c>
    </row>
    <row r="1720" spans="8:9">
      <c r="H1720" s="20" t="s">
        <v>1759</v>
      </c>
      <c r="I1720" s="22" t="s">
        <v>2848</v>
      </c>
    </row>
    <row r="1721" spans="8:9">
      <c r="H1721" s="20" t="s">
        <v>1760</v>
      </c>
      <c r="I1721" s="22" t="s">
        <v>2848</v>
      </c>
    </row>
    <row r="1722" spans="8:9">
      <c r="H1722" s="20" t="s">
        <v>1761</v>
      </c>
      <c r="I1722" s="22" t="s">
        <v>2848</v>
      </c>
    </row>
    <row r="1723" spans="8:9">
      <c r="H1723" s="20" t="s">
        <v>1762</v>
      </c>
      <c r="I1723" s="22" t="s">
        <v>2848</v>
      </c>
    </row>
    <row r="1724" spans="8:9">
      <c r="H1724" s="20" t="s">
        <v>1763</v>
      </c>
      <c r="I1724" s="22" t="s">
        <v>2848</v>
      </c>
    </row>
    <row r="1725" spans="8:9">
      <c r="H1725" s="20" t="s">
        <v>1764</v>
      </c>
      <c r="I1725" s="22" t="s">
        <v>2848</v>
      </c>
    </row>
    <row r="1726" spans="8:9">
      <c r="H1726" s="20" t="s">
        <v>1765</v>
      </c>
      <c r="I1726" s="22" t="s">
        <v>2849</v>
      </c>
    </row>
    <row r="1727" spans="8:9">
      <c r="H1727" s="20" t="s">
        <v>1766</v>
      </c>
      <c r="I1727" s="22" t="s">
        <v>2849</v>
      </c>
    </row>
    <row r="1728" spans="8:9">
      <c r="H1728" s="20" t="s">
        <v>1767</v>
      </c>
      <c r="I1728" s="22" t="s">
        <v>2850</v>
      </c>
    </row>
    <row r="1729" spans="8:9">
      <c r="H1729" s="20" t="s">
        <v>1768</v>
      </c>
      <c r="I1729" s="21" t="s">
        <v>2850</v>
      </c>
    </row>
    <row r="1730" spans="8:9">
      <c r="H1730" s="20" t="s">
        <v>1769</v>
      </c>
      <c r="I1730" s="22" t="s">
        <v>2850</v>
      </c>
    </row>
    <row r="1731" spans="8:9">
      <c r="H1731" s="20" t="s">
        <v>1770</v>
      </c>
      <c r="I1731" s="22" t="s">
        <v>2849</v>
      </c>
    </row>
    <row r="1732" spans="8:9">
      <c r="H1732" s="20" t="s">
        <v>1771</v>
      </c>
      <c r="I1732" s="21" t="s">
        <v>2850</v>
      </c>
    </row>
    <row r="1733" spans="8:9">
      <c r="H1733" s="20" t="s">
        <v>1772</v>
      </c>
      <c r="I1733" s="22" t="s">
        <v>2848</v>
      </c>
    </row>
    <row r="1734" spans="8:9">
      <c r="H1734" s="20" t="s">
        <v>1773</v>
      </c>
      <c r="I1734" s="22" t="s">
        <v>2848</v>
      </c>
    </row>
    <row r="1735" spans="8:9">
      <c r="H1735" s="20" t="s">
        <v>1774</v>
      </c>
      <c r="I1735" s="22" t="s">
        <v>2848</v>
      </c>
    </row>
    <row r="1736" spans="8:9">
      <c r="H1736" s="20" t="s">
        <v>1775</v>
      </c>
      <c r="I1736" s="22" t="s">
        <v>2848</v>
      </c>
    </row>
    <row r="1737" spans="8:9">
      <c r="H1737" s="20" t="s">
        <v>1776</v>
      </c>
      <c r="I1737" s="22" t="s">
        <v>2848</v>
      </c>
    </row>
    <row r="1738" spans="8:9">
      <c r="H1738" s="20" t="s">
        <v>1777</v>
      </c>
      <c r="I1738" s="22" t="s">
        <v>2849</v>
      </c>
    </row>
    <row r="1739" spans="8:9">
      <c r="H1739" s="20" t="s">
        <v>1778</v>
      </c>
      <c r="I1739" s="22" t="s">
        <v>2849</v>
      </c>
    </row>
    <row r="1740" spans="8:9">
      <c r="H1740" s="20" t="s">
        <v>1779</v>
      </c>
      <c r="I1740" s="21" t="s">
        <v>2849</v>
      </c>
    </row>
    <row r="1741" spans="8:9">
      <c r="H1741" s="20" t="s">
        <v>1780</v>
      </c>
      <c r="I1741" s="22" t="s">
        <v>2849</v>
      </c>
    </row>
    <row r="1742" spans="8:9">
      <c r="H1742" s="20" t="s">
        <v>1781</v>
      </c>
      <c r="I1742" s="21" t="s">
        <v>2848</v>
      </c>
    </row>
    <row r="1743" spans="8:9">
      <c r="H1743" s="20" t="s">
        <v>1782</v>
      </c>
      <c r="I1743" s="22" t="s">
        <v>2848</v>
      </c>
    </row>
    <row r="1744" spans="8:9">
      <c r="H1744" s="20" t="s">
        <v>1783</v>
      </c>
      <c r="I1744" s="22" t="s">
        <v>2848</v>
      </c>
    </row>
    <row r="1745" spans="8:9">
      <c r="H1745" s="20" t="s">
        <v>1784</v>
      </c>
      <c r="I1745" s="22" t="s">
        <v>2848</v>
      </c>
    </row>
    <row r="1746" spans="8:9">
      <c r="H1746" s="20" t="s">
        <v>1785</v>
      </c>
      <c r="I1746" s="22" t="s">
        <v>2848</v>
      </c>
    </row>
    <row r="1747" spans="8:9">
      <c r="H1747" s="20" t="s">
        <v>1786</v>
      </c>
      <c r="I1747" s="22" t="s">
        <v>2848</v>
      </c>
    </row>
    <row r="1748" spans="8:9">
      <c r="H1748" s="20" t="s">
        <v>1787</v>
      </c>
      <c r="I1748" s="22" t="s">
        <v>2849</v>
      </c>
    </row>
    <row r="1749" spans="8:9">
      <c r="H1749" s="20" t="s">
        <v>1788</v>
      </c>
      <c r="I1749" s="21" t="s">
        <v>2852</v>
      </c>
    </row>
    <row r="1750" spans="8:9">
      <c r="H1750" s="20" t="s">
        <v>1789</v>
      </c>
      <c r="I1750" s="22" t="s">
        <v>2848</v>
      </c>
    </row>
    <row r="1751" spans="8:9">
      <c r="H1751" s="20" t="s">
        <v>1790</v>
      </c>
      <c r="I1751" s="21" t="s">
        <v>2849</v>
      </c>
    </row>
    <row r="1752" spans="8:9">
      <c r="H1752" s="20" t="s">
        <v>1791</v>
      </c>
      <c r="I1752" s="21" t="s">
        <v>2848</v>
      </c>
    </row>
    <row r="1753" spans="8:9">
      <c r="H1753" s="20" t="s">
        <v>1792</v>
      </c>
      <c r="I1753" s="21" t="s">
        <v>2850</v>
      </c>
    </row>
    <row r="1754" spans="8:9">
      <c r="H1754" s="20" t="s">
        <v>1793</v>
      </c>
      <c r="I1754" s="21" t="s">
        <v>2852</v>
      </c>
    </row>
    <row r="1755" spans="8:9">
      <c r="H1755" s="20" t="s">
        <v>1794</v>
      </c>
      <c r="I1755" s="22" t="s">
        <v>2848</v>
      </c>
    </row>
    <row r="1756" spans="8:9">
      <c r="H1756" s="20" t="s">
        <v>1795</v>
      </c>
      <c r="I1756" s="22" t="s">
        <v>2849</v>
      </c>
    </row>
    <row r="1757" spans="8:9">
      <c r="H1757" s="20" t="s">
        <v>1796</v>
      </c>
      <c r="I1757" s="22" t="s">
        <v>2848</v>
      </c>
    </row>
    <row r="1758" spans="8:9">
      <c r="H1758" s="20" t="s">
        <v>1797</v>
      </c>
      <c r="I1758" s="22" t="s">
        <v>2849</v>
      </c>
    </row>
    <row r="1759" spans="8:9">
      <c r="H1759" s="20" t="s">
        <v>1798</v>
      </c>
      <c r="I1759" s="22" t="s">
        <v>2849</v>
      </c>
    </row>
    <row r="1760" spans="8:9">
      <c r="H1760" s="20" t="s">
        <v>1799</v>
      </c>
      <c r="I1760" s="21" t="s">
        <v>2852</v>
      </c>
    </row>
    <row r="1761" spans="8:9">
      <c r="H1761" s="20" t="s">
        <v>1800</v>
      </c>
      <c r="I1761" s="22" t="s">
        <v>2849</v>
      </c>
    </row>
    <row r="1762" spans="8:9">
      <c r="H1762" s="20" t="s">
        <v>1801</v>
      </c>
      <c r="I1762" s="22" t="s">
        <v>2852</v>
      </c>
    </row>
    <row r="1763" spans="8:9">
      <c r="H1763" s="262" t="s">
        <v>1802</v>
      </c>
      <c r="I1763" s="22" t="s">
        <v>2849</v>
      </c>
    </row>
    <row r="1764" spans="8:9">
      <c r="H1764" s="20" t="s">
        <v>1803</v>
      </c>
      <c r="I1764" s="22" t="s">
        <v>2848</v>
      </c>
    </row>
    <row r="1765" spans="8:9">
      <c r="H1765" s="20" t="s">
        <v>1804</v>
      </c>
      <c r="I1765" s="22" t="s">
        <v>2848</v>
      </c>
    </row>
    <row r="1766" spans="8:9">
      <c r="H1766" s="20" t="s">
        <v>1805</v>
      </c>
      <c r="I1766" s="21" t="s">
        <v>2850</v>
      </c>
    </row>
    <row r="1767" spans="8:9">
      <c r="H1767" s="20" t="s">
        <v>1806</v>
      </c>
      <c r="I1767" s="22" t="s">
        <v>2848</v>
      </c>
    </row>
    <row r="1768" spans="8:9">
      <c r="H1768" s="20" t="s">
        <v>1807</v>
      </c>
      <c r="I1768" s="21" t="s">
        <v>2849</v>
      </c>
    </row>
    <row r="1769" spans="8:9">
      <c r="H1769" s="20" t="s">
        <v>1808</v>
      </c>
      <c r="I1769" s="21" t="s">
        <v>2849</v>
      </c>
    </row>
    <row r="1770" spans="8:9">
      <c r="H1770" s="20" t="s">
        <v>1809</v>
      </c>
      <c r="I1770" s="21" t="s">
        <v>2850</v>
      </c>
    </row>
    <row r="1771" spans="8:9">
      <c r="H1771" s="20" t="s">
        <v>1810</v>
      </c>
      <c r="I1771" s="21" t="s">
        <v>2850</v>
      </c>
    </row>
    <row r="1772" spans="8:9">
      <c r="H1772" s="20" t="s">
        <v>1811</v>
      </c>
      <c r="I1772" s="21" t="s">
        <v>2852</v>
      </c>
    </row>
    <row r="1773" spans="8:9">
      <c r="H1773" s="20" t="s">
        <v>1812</v>
      </c>
      <c r="I1773" s="21" t="s">
        <v>2852</v>
      </c>
    </row>
    <row r="1774" spans="8:9">
      <c r="H1774" s="20" t="s">
        <v>1813</v>
      </c>
      <c r="I1774" s="21" t="s">
        <v>2852</v>
      </c>
    </row>
    <row r="1775" spans="8:9">
      <c r="H1775" s="20" t="s">
        <v>1814</v>
      </c>
      <c r="I1775" s="21" t="s">
        <v>2852</v>
      </c>
    </row>
    <row r="1776" spans="8:9">
      <c r="H1776" s="20" t="s">
        <v>1815</v>
      </c>
      <c r="I1776" s="21" t="s">
        <v>2849</v>
      </c>
    </row>
    <row r="1777" spans="8:9">
      <c r="H1777" s="20" t="s">
        <v>1816</v>
      </c>
      <c r="I1777" s="21" t="s">
        <v>2852</v>
      </c>
    </row>
    <row r="1778" spans="8:9">
      <c r="H1778" s="20" t="s">
        <v>1817</v>
      </c>
      <c r="I1778" s="21" t="s">
        <v>2848</v>
      </c>
    </row>
    <row r="1779" spans="8:9">
      <c r="H1779" s="20" t="s">
        <v>1818</v>
      </c>
      <c r="I1779" s="22" t="s">
        <v>2849</v>
      </c>
    </row>
    <row r="1780" spans="8:9">
      <c r="H1780" s="20" t="s">
        <v>1819</v>
      </c>
      <c r="I1780" s="21" t="s">
        <v>2850</v>
      </c>
    </row>
    <row r="1781" spans="8:9">
      <c r="H1781" s="20" t="s">
        <v>1820</v>
      </c>
      <c r="I1781" s="21" t="s">
        <v>2848</v>
      </c>
    </row>
    <row r="1782" spans="8:9">
      <c r="H1782" s="20" t="s">
        <v>1821</v>
      </c>
      <c r="I1782" s="21" t="s">
        <v>2850</v>
      </c>
    </row>
    <row r="1783" spans="8:9">
      <c r="H1783" s="20" t="s">
        <v>1822</v>
      </c>
      <c r="I1783" s="21" t="s">
        <v>2850</v>
      </c>
    </row>
    <row r="1784" spans="8:9">
      <c r="H1784" s="20" t="s">
        <v>1823</v>
      </c>
      <c r="I1784" s="21" t="s">
        <v>2852</v>
      </c>
    </row>
    <row r="1785" spans="8:9">
      <c r="H1785" s="20" t="s">
        <v>1824</v>
      </c>
      <c r="I1785" s="21" t="s">
        <v>2850</v>
      </c>
    </row>
    <row r="1786" spans="8:9">
      <c r="H1786" s="20" t="s">
        <v>1825</v>
      </c>
      <c r="I1786" s="21" t="s">
        <v>2850</v>
      </c>
    </row>
    <row r="1787" spans="8:9">
      <c r="H1787" s="20" t="s">
        <v>1826</v>
      </c>
      <c r="I1787" s="21" t="s">
        <v>2849</v>
      </c>
    </row>
    <row r="1788" spans="8:9">
      <c r="H1788" s="20" t="s">
        <v>1827</v>
      </c>
      <c r="I1788" s="21" t="s">
        <v>2852</v>
      </c>
    </row>
    <row r="1789" spans="8:9">
      <c r="H1789" s="20" t="s">
        <v>1828</v>
      </c>
      <c r="I1789" s="21" t="s">
        <v>2849</v>
      </c>
    </row>
    <row r="1790" spans="8:9">
      <c r="H1790" s="20" t="s">
        <v>1829</v>
      </c>
      <c r="I1790" s="21" t="s">
        <v>2850</v>
      </c>
    </row>
    <row r="1791" spans="8:9">
      <c r="H1791" s="20" t="s">
        <v>1830</v>
      </c>
      <c r="I1791" s="21" t="s">
        <v>2850</v>
      </c>
    </row>
    <row r="1792" spans="8:9">
      <c r="H1792" s="20" t="s">
        <v>1831</v>
      </c>
      <c r="I1792" s="22" t="s">
        <v>2849</v>
      </c>
    </row>
    <row r="1793" spans="8:9">
      <c r="H1793" s="20" t="s">
        <v>1832</v>
      </c>
      <c r="I1793" s="22" t="s">
        <v>2849</v>
      </c>
    </row>
    <row r="1794" spans="8:9">
      <c r="H1794" s="20" t="s">
        <v>1833</v>
      </c>
      <c r="I1794" s="21" t="s">
        <v>2849</v>
      </c>
    </row>
    <row r="1795" spans="8:9">
      <c r="H1795" s="20" t="s">
        <v>1834</v>
      </c>
      <c r="I1795" s="22" t="s">
        <v>2849</v>
      </c>
    </row>
    <row r="1796" spans="8:9">
      <c r="H1796" s="20" t="s">
        <v>1835</v>
      </c>
      <c r="I1796" s="21" t="s">
        <v>2852</v>
      </c>
    </row>
    <row r="1797" spans="8:9">
      <c r="H1797" s="20" t="s">
        <v>1836</v>
      </c>
      <c r="I1797" s="22" t="s">
        <v>2848</v>
      </c>
    </row>
    <row r="1798" spans="8:9">
      <c r="H1798" s="20" t="s">
        <v>1837</v>
      </c>
      <c r="I1798" s="22" t="s">
        <v>2848</v>
      </c>
    </row>
    <row r="1799" spans="8:9">
      <c r="H1799" s="20" t="s">
        <v>1838</v>
      </c>
      <c r="I1799" s="22" t="s">
        <v>2848</v>
      </c>
    </row>
    <row r="1800" spans="8:9">
      <c r="H1800" s="20" t="s">
        <v>1839</v>
      </c>
      <c r="I1800" s="22" t="s">
        <v>2848</v>
      </c>
    </row>
    <row r="1801" spans="8:9">
      <c r="H1801" s="20" t="s">
        <v>1840</v>
      </c>
      <c r="I1801" s="22" t="s">
        <v>2848</v>
      </c>
    </row>
    <row r="1802" spans="8:9">
      <c r="H1802" s="20" t="s">
        <v>1841</v>
      </c>
      <c r="I1802" s="22" t="s">
        <v>2848</v>
      </c>
    </row>
    <row r="1803" spans="8:9">
      <c r="H1803" s="20" t="s">
        <v>1842</v>
      </c>
      <c r="I1803" s="22" t="s">
        <v>2848</v>
      </c>
    </row>
    <row r="1804" spans="8:9">
      <c r="H1804" s="20" t="s">
        <v>1843</v>
      </c>
      <c r="I1804" s="22" t="s">
        <v>2849</v>
      </c>
    </row>
    <row r="1805" spans="8:9">
      <c r="H1805" s="20" t="s">
        <v>1844</v>
      </c>
      <c r="I1805" s="21" t="s">
        <v>2848</v>
      </c>
    </row>
    <row r="1806" spans="8:9">
      <c r="H1806" s="20" t="s">
        <v>1845</v>
      </c>
      <c r="I1806" s="21" t="s">
        <v>2852</v>
      </c>
    </row>
    <row r="1807" spans="8:9">
      <c r="H1807" s="20" t="s">
        <v>1846</v>
      </c>
      <c r="I1807" s="21" t="s">
        <v>2850</v>
      </c>
    </row>
    <row r="1808" spans="8:9">
      <c r="H1808" s="20" t="s">
        <v>1847</v>
      </c>
      <c r="I1808" s="22" t="s">
        <v>2848</v>
      </c>
    </row>
    <row r="1809" spans="8:9">
      <c r="H1809" s="20" t="s">
        <v>1848</v>
      </c>
      <c r="I1809" s="21" t="s">
        <v>2850</v>
      </c>
    </row>
    <row r="1810" spans="8:9">
      <c r="H1810" s="20" t="s">
        <v>1849</v>
      </c>
      <c r="I1810" s="22" t="s">
        <v>2848</v>
      </c>
    </row>
    <row r="1811" spans="8:9">
      <c r="H1811" s="20" t="s">
        <v>1850</v>
      </c>
      <c r="I1811" s="22" t="s">
        <v>2848</v>
      </c>
    </row>
    <row r="1812" spans="8:9">
      <c r="H1812" s="20" t="s">
        <v>1851</v>
      </c>
      <c r="I1812" s="21" t="s">
        <v>2849</v>
      </c>
    </row>
    <row r="1813" spans="8:9">
      <c r="H1813" s="20" t="s">
        <v>1852</v>
      </c>
      <c r="I1813" s="22" t="s">
        <v>2849</v>
      </c>
    </row>
    <row r="1814" spans="8:9">
      <c r="H1814" s="20" t="s">
        <v>1853</v>
      </c>
      <c r="I1814" s="21" t="s">
        <v>2849</v>
      </c>
    </row>
    <row r="1815" spans="8:9">
      <c r="H1815" s="20" t="s">
        <v>1854</v>
      </c>
      <c r="I1815" s="21" t="s">
        <v>2852</v>
      </c>
    </row>
    <row r="1816" spans="8:9">
      <c r="H1816" s="20" t="s">
        <v>1855</v>
      </c>
      <c r="I1816" s="21" t="s">
        <v>2852</v>
      </c>
    </row>
    <row r="1817" spans="8:9">
      <c r="H1817" s="20" t="s">
        <v>1856</v>
      </c>
      <c r="I1817" s="21" t="s">
        <v>2849</v>
      </c>
    </row>
    <row r="1818" spans="8:9">
      <c r="H1818" s="20" t="s">
        <v>1857</v>
      </c>
      <c r="I1818" s="21" t="s">
        <v>2850</v>
      </c>
    </row>
    <row r="1819" spans="8:9">
      <c r="H1819" s="20" t="s">
        <v>1858</v>
      </c>
      <c r="I1819" s="21" t="s">
        <v>2850</v>
      </c>
    </row>
    <row r="1820" spans="8:9">
      <c r="H1820" s="20" t="s">
        <v>1859</v>
      </c>
      <c r="I1820" s="21" t="s">
        <v>2852</v>
      </c>
    </row>
    <row r="1821" spans="8:9">
      <c r="H1821" s="20" t="s">
        <v>1860</v>
      </c>
      <c r="I1821" s="22" t="s">
        <v>2849</v>
      </c>
    </row>
    <row r="1822" spans="8:9">
      <c r="H1822" s="20" t="s">
        <v>1861</v>
      </c>
      <c r="I1822" s="21" t="s">
        <v>2848</v>
      </c>
    </row>
    <row r="1823" spans="8:9">
      <c r="H1823" s="20" t="s">
        <v>1862</v>
      </c>
      <c r="I1823" s="21" t="s">
        <v>2849</v>
      </c>
    </row>
    <row r="1824" spans="8:9">
      <c r="H1824" s="20" t="s">
        <v>1863</v>
      </c>
      <c r="I1824" s="21" t="s">
        <v>2852</v>
      </c>
    </row>
    <row r="1825" spans="8:9">
      <c r="H1825" s="20" t="s">
        <v>1864</v>
      </c>
      <c r="I1825" s="21" t="s">
        <v>2850</v>
      </c>
    </row>
    <row r="1826" spans="8:9">
      <c r="H1826" s="20" t="s">
        <v>1865</v>
      </c>
      <c r="I1826" s="21" t="s">
        <v>2852</v>
      </c>
    </row>
    <row r="1827" spans="8:9">
      <c r="H1827" s="20" t="s">
        <v>1866</v>
      </c>
      <c r="I1827" s="21" t="s">
        <v>2849</v>
      </c>
    </row>
    <row r="1828" spans="8:9">
      <c r="H1828" s="20" t="s">
        <v>1867</v>
      </c>
      <c r="I1828" s="21" t="s">
        <v>2849</v>
      </c>
    </row>
    <row r="1829" spans="8:9">
      <c r="H1829" s="20" t="s">
        <v>1868</v>
      </c>
      <c r="I1829" s="22" t="s">
        <v>2852</v>
      </c>
    </row>
    <row r="1830" spans="8:9">
      <c r="H1830" s="20" t="s">
        <v>1869</v>
      </c>
      <c r="I1830" s="22" t="s">
        <v>2849</v>
      </c>
    </row>
    <row r="1831" spans="8:9">
      <c r="H1831" s="20" t="s">
        <v>1870</v>
      </c>
      <c r="I1831" s="21" t="s">
        <v>2848</v>
      </c>
    </row>
    <row r="1832" spans="8:9">
      <c r="H1832" s="20" t="s">
        <v>1871</v>
      </c>
      <c r="I1832" s="22" t="s">
        <v>2848</v>
      </c>
    </row>
    <row r="1833" spans="8:9">
      <c r="H1833" s="20" t="s">
        <v>1872</v>
      </c>
      <c r="I1833" s="22" t="s">
        <v>2848</v>
      </c>
    </row>
    <row r="1834" spans="8:9">
      <c r="H1834" s="20" t="s">
        <v>1873</v>
      </c>
      <c r="I1834" s="22" t="s">
        <v>2848</v>
      </c>
    </row>
    <row r="1835" spans="8:9">
      <c r="H1835" s="20" t="s">
        <v>1874</v>
      </c>
      <c r="I1835" s="21" t="s">
        <v>2850</v>
      </c>
    </row>
    <row r="1836" spans="8:9">
      <c r="H1836" s="20" t="s">
        <v>1875</v>
      </c>
      <c r="I1836" s="22" t="s">
        <v>2848</v>
      </c>
    </row>
    <row r="1837" spans="8:9">
      <c r="H1837" s="20" t="s">
        <v>1876</v>
      </c>
      <c r="I1837" s="22" t="s">
        <v>2848</v>
      </c>
    </row>
    <row r="1838" spans="8:9">
      <c r="H1838" s="20" t="s">
        <v>1877</v>
      </c>
      <c r="I1838" s="22" t="s">
        <v>2848</v>
      </c>
    </row>
    <row r="1839" spans="8:9">
      <c r="H1839" s="20" t="s">
        <v>1878</v>
      </c>
      <c r="I1839" s="22" t="s">
        <v>2848</v>
      </c>
    </row>
    <row r="1840" spans="8:9">
      <c r="H1840" s="20" t="s">
        <v>1879</v>
      </c>
      <c r="I1840" s="22" t="s">
        <v>2848</v>
      </c>
    </row>
    <row r="1841" spans="8:9">
      <c r="H1841" s="20" t="s">
        <v>1880</v>
      </c>
      <c r="I1841" s="22" t="s">
        <v>2848</v>
      </c>
    </row>
    <row r="1842" spans="8:9">
      <c r="H1842" s="20" t="s">
        <v>1881</v>
      </c>
      <c r="I1842" s="22" t="s">
        <v>2848</v>
      </c>
    </row>
    <row r="1843" spans="8:9">
      <c r="H1843" s="20" t="s">
        <v>1882</v>
      </c>
      <c r="I1843" s="22" t="s">
        <v>2848</v>
      </c>
    </row>
    <row r="1844" spans="8:9">
      <c r="H1844" s="20" t="s">
        <v>1883</v>
      </c>
      <c r="I1844" s="21" t="s">
        <v>2852</v>
      </c>
    </row>
    <row r="1845" spans="8:9">
      <c r="H1845" s="20" t="s">
        <v>1884</v>
      </c>
      <c r="I1845" s="21" t="s">
        <v>2852</v>
      </c>
    </row>
    <row r="1846" spans="8:9">
      <c r="H1846" s="20" t="s">
        <v>1885</v>
      </c>
      <c r="I1846" s="22" t="s">
        <v>2849</v>
      </c>
    </row>
    <row r="1847" spans="8:9">
      <c r="H1847" s="20" t="s">
        <v>1886</v>
      </c>
      <c r="I1847" s="22" t="s">
        <v>2849</v>
      </c>
    </row>
    <row r="1848" spans="8:9">
      <c r="H1848" s="20" t="s">
        <v>1887</v>
      </c>
      <c r="I1848" s="22" t="s">
        <v>2849</v>
      </c>
    </row>
    <row r="1849" spans="8:9">
      <c r="H1849" s="20" t="s">
        <v>1888</v>
      </c>
      <c r="I1849" s="21" t="s">
        <v>2849</v>
      </c>
    </row>
    <row r="1850" spans="8:9">
      <c r="H1850" s="20" t="s">
        <v>1889</v>
      </c>
      <c r="I1850" s="22" t="s">
        <v>2848</v>
      </c>
    </row>
    <row r="1851" spans="8:9">
      <c r="H1851" s="20" t="s">
        <v>1890</v>
      </c>
      <c r="I1851" s="22" t="s">
        <v>2848</v>
      </c>
    </row>
    <row r="1852" spans="8:9">
      <c r="H1852" s="20" t="s">
        <v>1891</v>
      </c>
      <c r="I1852" s="21" t="s">
        <v>2852</v>
      </c>
    </row>
    <row r="1853" spans="8:9">
      <c r="H1853" s="20" t="s">
        <v>1892</v>
      </c>
      <c r="I1853" s="21" t="s">
        <v>2852</v>
      </c>
    </row>
    <row r="1854" spans="8:9">
      <c r="H1854" s="20" t="s">
        <v>1893</v>
      </c>
      <c r="I1854" s="22" t="s">
        <v>2848</v>
      </c>
    </row>
    <row r="1855" spans="8:9">
      <c r="H1855" s="20" t="s">
        <v>1894</v>
      </c>
      <c r="I1855" s="22" t="s">
        <v>2848</v>
      </c>
    </row>
    <row r="1856" spans="8:9">
      <c r="H1856" s="20" t="s">
        <v>1895</v>
      </c>
      <c r="I1856" s="22" t="s">
        <v>2849</v>
      </c>
    </row>
    <row r="1857" spans="8:9">
      <c r="H1857" s="20" t="s">
        <v>1896</v>
      </c>
      <c r="I1857" s="22" t="s">
        <v>2849</v>
      </c>
    </row>
    <row r="1858" spans="8:9">
      <c r="H1858" s="20" t="s">
        <v>1897</v>
      </c>
      <c r="I1858" s="21" t="s">
        <v>2848</v>
      </c>
    </row>
    <row r="1859" spans="8:9">
      <c r="H1859" s="20" t="s">
        <v>1898</v>
      </c>
      <c r="I1859" s="21" t="s">
        <v>2852</v>
      </c>
    </row>
    <row r="1860" spans="8:9">
      <c r="H1860" s="20" t="s">
        <v>1899</v>
      </c>
      <c r="I1860" s="22" t="s">
        <v>2849</v>
      </c>
    </row>
    <row r="1861" spans="8:9">
      <c r="H1861" s="20" t="s">
        <v>1900</v>
      </c>
      <c r="I1861" s="22" t="s">
        <v>2852</v>
      </c>
    </row>
    <row r="1862" spans="8:9">
      <c r="H1862" s="20" t="s">
        <v>1901</v>
      </c>
      <c r="I1862" s="22" t="s">
        <v>2852</v>
      </c>
    </row>
    <row r="1863" spans="8:9">
      <c r="H1863" s="20" t="s">
        <v>1902</v>
      </c>
      <c r="I1863" s="22" t="s">
        <v>2852</v>
      </c>
    </row>
    <row r="1864" spans="8:9">
      <c r="H1864" s="20" t="s">
        <v>1903</v>
      </c>
      <c r="I1864" s="22" t="s">
        <v>2852</v>
      </c>
    </row>
    <row r="1865" spans="8:9">
      <c r="H1865" s="20" t="s">
        <v>1904</v>
      </c>
      <c r="I1865" s="22" t="s">
        <v>2852</v>
      </c>
    </row>
    <row r="1866" spans="8:9">
      <c r="H1866" s="20" t="s">
        <v>1905</v>
      </c>
      <c r="I1866" s="22" t="s">
        <v>2852</v>
      </c>
    </row>
    <row r="1867" spans="8:9">
      <c r="H1867" s="20" t="s">
        <v>1906</v>
      </c>
      <c r="I1867" s="22" t="s">
        <v>2852</v>
      </c>
    </row>
    <row r="1868" spans="8:9">
      <c r="H1868" s="20" t="s">
        <v>1907</v>
      </c>
      <c r="I1868" s="22" t="s">
        <v>2850</v>
      </c>
    </row>
    <row r="1869" spans="8:9">
      <c r="H1869" s="20" t="s">
        <v>1908</v>
      </c>
      <c r="I1869" s="22" t="s">
        <v>2848</v>
      </c>
    </row>
    <row r="1870" spans="8:9">
      <c r="H1870" s="20" t="s">
        <v>1909</v>
      </c>
      <c r="I1870" s="22" t="s">
        <v>2849</v>
      </c>
    </row>
    <row r="1871" spans="8:9">
      <c r="H1871" s="20" t="s">
        <v>1910</v>
      </c>
      <c r="I1871" s="22" t="s">
        <v>2849</v>
      </c>
    </row>
    <row r="1872" spans="8:9">
      <c r="H1872" s="20" t="s">
        <v>1911</v>
      </c>
      <c r="I1872" s="22" t="s">
        <v>2849</v>
      </c>
    </row>
    <row r="1873" spans="8:9">
      <c r="H1873" s="20" t="s">
        <v>1912</v>
      </c>
      <c r="I1873" s="22" t="s">
        <v>2849</v>
      </c>
    </row>
    <row r="1874" spans="8:9">
      <c r="H1874" s="20" t="s">
        <v>1913</v>
      </c>
      <c r="I1874" s="21" t="s">
        <v>2849</v>
      </c>
    </row>
    <row r="1875" spans="8:9">
      <c r="H1875" s="20" t="s">
        <v>1914</v>
      </c>
      <c r="I1875" s="22" t="s">
        <v>2852</v>
      </c>
    </row>
    <row r="1876" spans="8:9">
      <c r="H1876" s="20" t="s">
        <v>1915</v>
      </c>
      <c r="I1876" s="22" t="s">
        <v>2848</v>
      </c>
    </row>
    <row r="1877" spans="8:9">
      <c r="H1877" s="20" t="s">
        <v>1916</v>
      </c>
      <c r="I1877" s="22" t="s">
        <v>2848</v>
      </c>
    </row>
    <row r="1878" spans="8:9">
      <c r="H1878" s="20" t="s">
        <v>1917</v>
      </c>
      <c r="I1878" s="21" t="s">
        <v>2850</v>
      </c>
    </row>
    <row r="1879" spans="8:9">
      <c r="H1879" s="20" t="s">
        <v>1918</v>
      </c>
      <c r="I1879" s="22" t="s">
        <v>2848</v>
      </c>
    </row>
    <row r="1880" spans="8:9">
      <c r="H1880" s="20" t="s">
        <v>1919</v>
      </c>
      <c r="I1880" s="22" t="s">
        <v>2849</v>
      </c>
    </row>
    <row r="1881" spans="8:9">
      <c r="H1881" s="20" t="s">
        <v>1920</v>
      </c>
      <c r="I1881" s="22" t="s">
        <v>2848</v>
      </c>
    </row>
    <row r="1882" spans="8:9">
      <c r="H1882" s="20" t="s">
        <v>1921</v>
      </c>
      <c r="I1882" s="22" t="s">
        <v>2848</v>
      </c>
    </row>
    <row r="1883" spans="8:9">
      <c r="H1883" s="20" t="s">
        <v>1922</v>
      </c>
      <c r="I1883" s="22" t="s">
        <v>2848</v>
      </c>
    </row>
    <row r="1884" spans="8:9">
      <c r="H1884" s="20" t="s">
        <v>1923</v>
      </c>
      <c r="I1884" s="22" t="s">
        <v>2848</v>
      </c>
    </row>
    <row r="1885" spans="8:9">
      <c r="H1885" s="20" t="s">
        <v>1924</v>
      </c>
      <c r="I1885" s="22" t="s">
        <v>2849</v>
      </c>
    </row>
    <row r="1886" spans="8:9">
      <c r="H1886" s="20" t="s">
        <v>1925</v>
      </c>
      <c r="I1886" s="22" t="s">
        <v>2848</v>
      </c>
    </row>
    <row r="1887" spans="8:9">
      <c r="H1887" s="20" t="s">
        <v>1926</v>
      </c>
      <c r="I1887" s="21" t="s">
        <v>2852</v>
      </c>
    </row>
    <row r="1888" spans="8:9">
      <c r="H1888" s="20" t="s">
        <v>1927</v>
      </c>
      <c r="I1888" s="22" t="s">
        <v>2848</v>
      </c>
    </row>
    <row r="1889" spans="8:9">
      <c r="H1889" s="20" t="s">
        <v>1928</v>
      </c>
      <c r="I1889" s="22" t="s">
        <v>2849</v>
      </c>
    </row>
    <row r="1890" spans="8:9">
      <c r="H1890" s="20" t="s">
        <v>1929</v>
      </c>
      <c r="I1890" s="21" t="s">
        <v>2849</v>
      </c>
    </row>
    <row r="1891" spans="8:9">
      <c r="H1891" s="20" t="s">
        <v>1930</v>
      </c>
      <c r="I1891" s="22" t="s">
        <v>2848</v>
      </c>
    </row>
    <row r="1892" spans="8:9">
      <c r="H1892" s="20" t="s">
        <v>1931</v>
      </c>
      <c r="I1892" s="22" t="s">
        <v>2849</v>
      </c>
    </row>
    <row r="1893" spans="8:9">
      <c r="H1893" s="20" t="s">
        <v>1932</v>
      </c>
      <c r="I1893" s="21" t="s">
        <v>2850</v>
      </c>
    </row>
    <row r="1894" spans="8:9">
      <c r="H1894" s="20" t="s">
        <v>1933</v>
      </c>
      <c r="I1894" s="21" t="s">
        <v>2850</v>
      </c>
    </row>
    <row r="1895" spans="8:9">
      <c r="H1895" s="20" t="s">
        <v>1934</v>
      </c>
      <c r="I1895" s="22" t="s">
        <v>2849</v>
      </c>
    </row>
    <row r="1896" spans="8:9">
      <c r="H1896" s="20" t="s">
        <v>1935</v>
      </c>
      <c r="I1896" s="21" t="s">
        <v>2849</v>
      </c>
    </row>
    <row r="1897" spans="8:9">
      <c r="H1897" s="20" t="s">
        <v>1936</v>
      </c>
      <c r="I1897" s="22" t="s">
        <v>2848</v>
      </c>
    </row>
    <row r="1898" spans="8:9">
      <c r="H1898" s="20" t="s">
        <v>1937</v>
      </c>
      <c r="I1898" s="22" t="s">
        <v>2848</v>
      </c>
    </row>
    <row r="1899" spans="8:9">
      <c r="H1899" s="20" t="s">
        <v>1938</v>
      </c>
      <c r="I1899" s="22" t="s">
        <v>2848</v>
      </c>
    </row>
    <row r="1900" spans="8:9">
      <c r="H1900" s="20" t="s">
        <v>1939</v>
      </c>
      <c r="I1900" s="22" t="s">
        <v>2848</v>
      </c>
    </row>
    <row r="1901" spans="8:9">
      <c r="H1901" s="20" t="s">
        <v>1940</v>
      </c>
      <c r="I1901" s="22" t="s">
        <v>2848</v>
      </c>
    </row>
    <row r="1902" spans="8:9">
      <c r="H1902" s="20" t="s">
        <v>1941</v>
      </c>
      <c r="I1902" s="22" t="s">
        <v>2848</v>
      </c>
    </row>
    <row r="1903" spans="8:9">
      <c r="H1903" s="20" t="s">
        <v>1942</v>
      </c>
      <c r="I1903" s="21" t="s">
        <v>2852</v>
      </c>
    </row>
    <row r="1904" spans="8:9">
      <c r="H1904" s="20" t="s">
        <v>1943</v>
      </c>
      <c r="I1904" s="21" t="s">
        <v>2852</v>
      </c>
    </row>
    <row r="1905" spans="8:9">
      <c r="H1905" s="20" t="s">
        <v>1944</v>
      </c>
      <c r="I1905" s="21" t="s">
        <v>2850</v>
      </c>
    </row>
    <row r="1906" spans="8:9">
      <c r="H1906" s="20" t="s">
        <v>1945</v>
      </c>
      <c r="I1906" s="21" t="s">
        <v>2850</v>
      </c>
    </row>
    <row r="1907" spans="8:9">
      <c r="H1907" s="20" t="s">
        <v>1946</v>
      </c>
      <c r="I1907" s="21" t="s">
        <v>2848</v>
      </c>
    </row>
    <row r="1908" spans="8:9">
      <c r="H1908" s="20" t="s">
        <v>1947</v>
      </c>
      <c r="I1908" s="21" t="s">
        <v>2850</v>
      </c>
    </row>
    <row r="1909" spans="8:9">
      <c r="H1909" s="20" t="s">
        <v>1948</v>
      </c>
      <c r="I1909" s="22" t="s">
        <v>2850</v>
      </c>
    </row>
    <row r="1910" spans="8:9">
      <c r="H1910" s="20" t="s">
        <v>1949</v>
      </c>
      <c r="I1910" s="22" t="s">
        <v>2850</v>
      </c>
    </row>
    <row r="1911" spans="8:9">
      <c r="H1911" s="20" t="s">
        <v>1950</v>
      </c>
      <c r="I1911" s="22" t="s">
        <v>2850</v>
      </c>
    </row>
    <row r="1912" spans="8:9">
      <c r="H1912" s="20" t="s">
        <v>1951</v>
      </c>
      <c r="I1912" s="21" t="s">
        <v>2850</v>
      </c>
    </row>
    <row r="1913" spans="8:9">
      <c r="H1913" s="20" t="s">
        <v>1952</v>
      </c>
      <c r="I1913" s="22" t="s">
        <v>2848</v>
      </c>
    </row>
    <row r="1914" spans="8:9">
      <c r="H1914" s="20" t="s">
        <v>1953</v>
      </c>
      <c r="I1914" s="21" t="s">
        <v>2852</v>
      </c>
    </row>
    <row r="1915" spans="8:9">
      <c r="H1915" s="20" t="s">
        <v>1954</v>
      </c>
      <c r="I1915" s="22" t="s">
        <v>2852</v>
      </c>
    </row>
    <row r="1916" spans="8:9">
      <c r="H1916" s="20" t="s">
        <v>1955</v>
      </c>
      <c r="I1916" s="22" t="s">
        <v>2852</v>
      </c>
    </row>
    <row r="1917" spans="8:9">
      <c r="H1917" s="20" t="s">
        <v>1956</v>
      </c>
      <c r="I1917" s="22" t="s">
        <v>2852</v>
      </c>
    </row>
    <row r="1918" spans="8:9">
      <c r="H1918" s="20" t="s">
        <v>1957</v>
      </c>
      <c r="I1918" s="21" t="s">
        <v>2852</v>
      </c>
    </row>
    <row r="1919" spans="8:9">
      <c r="H1919" s="20" t="s">
        <v>1958</v>
      </c>
      <c r="I1919" s="21" t="s">
        <v>2848</v>
      </c>
    </row>
    <row r="1920" spans="8:9">
      <c r="H1920" s="20" t="s">
        <v>1959</v>
      </c>
      <c r="I1920" s="21" t="s">
        <v>2848</v>
      </c>
    </row>
    <row r="1921" spans="8:9">
      <c r="H1921" s="20" t="s">
        <v>1960</v>
      </c>
      <c r="I1921" s="21" t="s">
        <v>2850</v>
      </c>
    </row>
    <row r="1922" spans="8:9">
      <c r="H1922" s="20" t="s">
        <v>1961</v>
      </c>
      <c r="I1922" s="21" t="s">
        <v>2848</v>
      </c>
    </row>
    <row r="1923" spans="8:9">
      <c r="H1923" s="20" t="s">
        <v>1962</v>
      </c>
      <c r="I1923" s="21" t="s">
        <v>2850</v>
      </c>
    </row>
    <row r="1924" spans="8:9">
      <c r="H1924" s="20" t="s">
        <v>1963</v>
      </c>
      <c r="I1924" s="21" t="s">
        <v>2848</v>
      </c>
    </row>
    <row r="1925" spans="8:9">
      <c r="H1925" s="20" t="s">
        <v>1964</v>
      </c>
      <c r="I1925" s="22" t="s">
        <v>2848</v>
      </c>
    </row>
    <row r="1926" spans="8:9">
      <c r="H1926" s="20" t="s">
        <v>1965</v>
      </c>
      <c r="I1926" s="22" t="s">
        <v>2850</v>
      </c>
    </row>
    <row r="1927" spans="8:9">
      <c r="H1927" s="20" t="s">
        <v>1966</v>
      </c>
      <c r="I1927" s="21" t="s">
        <v>2849</v>
      </c>
    </row>
    <row r="1928" spans="8:9">
      <c r="H1928" s="20" t="s">
        <v>1967</v>
      </c>
      <c r="I1928" s="22" t="s">
        <v>2852</v>
      </c>
    </row>
    <row r="1929" spans="8:9">
      <c r="H1929" s="20" t="s">
        <v>1968</v>
      </c>
      <c r="I1929" s="22" t="s">
        <v>2849</v>
      </c>
    </row>
    <row r="1930" spans="8:9">
      <c r="H1930" s="20" t="s">
        <v>1969</v>
      </c>
      <c r="I1930" s="22" t="s">
        <v>2849</v>
      </c>
    </row>
    <row r="1931" spans="8:9">
      <c r="H1931" s="20" t="s">
        <v>1970</v>
      </c>
      <c r="I1931" s="21" t="s">
        <v>2848</v>
      </c>
    </row>
    <row r="1932" spans="8:9">
      <c r="H1932" s="20" t="s">
        <v>1971</v>
      </c>
      <c r="I1932" s="22" t="s">
        <v>2849</v>
      </c>
    </row>
    <row r="1933" spans="8:9">
      <c r="H1933" s="20" t="s">
        <v>1972</v>
      </c>
      <c r="I1933" s="22" t="s">
        <v>2848</v>
      </c>
    </row>
    <row r="1934" spans="8:9">
      <c r="H1934" s="20" t="s">
        <v>1973</v>
      </c>
      <c r="I1934" s="21" t="s">
        <v>2852</v>
      </c>
    </row>
    <row r="1935" spans="8:9">
      <c r="H1935" s="20" t="s">
        <v>1974</v>
      </c>
      <c r="I1935" s="22" t="s">
        <v>2848</v>
      </c>
    </row>
    <row r="1936" spans="8:9">
      <c r="H1936" s="20" t="s">
        <v>1975</v>
      </c>
      <c r="I1936" s="22" t="s">
        <v>2849</v>
      </c>
    </row>
    <row r="1937" spans="8:9">
      <c r="H1937" s="20" t="s">
        <v>1976</v>
      </c>
      <c r="I1937" s="22" t="s">
        <v>2849</v>
      </c>
    </row>
    <row r="1938" spans="8:9">
      <c r="H1938" s="20" t="s">
        <v>1977</v>
      </c>
      <c r="I1938" s="22" t="s">
        <v>2848</v>
      </c>
    </row>
    <row r="1939" spans="8:9">
      <c r="H1939" s="20" t="s">
        <v>1978</v>
      </c>
      <c r="I1939" s="22" t="s">
        <v>2848</v>
      </c>
    </row>
    <row r="1940" spans="8:9">
      <c r="H1940" s="20" t="s">
        <v>1979</v>
      </c>
      <c r="I1940" s="22" t="s">
        <v>2848</v>
      </c>
    </row>
    <row r="1941" spans="8:9">
      <c r="H1941" s="20" t="s">
        <v>1980</v>
      </c>
      <c r="I1941" s="22" t="s">
        <v>2852</v>
      </c>
    </row>
    <row r="1942" spans="8:9">
      <c r="H1942" s="20" t="s">
        <v>1981</v>
      </c>
      <c r="I1942" s="22" t="s">
        <v>2852</v>
      </c>
    </row>
    <row r="1943" spans="8:9">
      <c r="H1943" s="20" t="s">
        <v>1982</v>
      </c>
      <c r="I1943" s="22" t="s">
        <v>2852</v>
      </c>
    </row>
    <row r="1944" spans="8:9">
      <c r="H1944" s="20" t="s">
        <v>1983</v>
      </c>
      <c r="I1944" s="22" t="s">
        <v>2852</v>
      </c>
    </row>
    <row r="1945" spans="8:9">
      <c r="H1945" s="20" t="s">
        <v>1984</v>
      </c>
      <c r="I1945" s="22" t="s">
        <v>2852</v>
      </c>
    </row>
    <row r="1946" spans="8:9">
      <c r="H1946" s="20" t="s">
        <v>1985</v>
      </c>
      <c r="I1946" s="22" t="s">
        <v>2852</v>
      </c>
    </row>
    <row r="1947" spans="8:9">
      <c r="H1947" s="20" t="s">
        <v>1986</v>
      </c>
      <c r="I1947" s="22" t="s">
        <v>2852</v>
      </c>
    </row>
    <row r="1948" spans="8:9">
      <c r="H1948" s="20" t="s">
        <v>1987</v>
      </c>
      <c r="I1948" s="21" t="s">
        <v>2852</v>
      </c>
    </row>
    <row r="1949" spans="8:9">
      <c r="H1949" s="20" t="s">
        <v>1988</v>
      </c>
      <c r="I1949" s="21" t="s">
        <v>2850</v>
      </c>
    </row>
    <row r="1950" spans="8:9">
      <c r="H1950" s="20" t="s">
        <v>1989</v>
      </c>
      <c r="I1950" s="22" t="s">
        <v>2849</v>
      </c>
    </row>
    <row r="1951" spans="8:9">
      <c r="H1951" s="20" t="s">
        <v>1990</v>
      </c>
      <c r="I1951" s="22" t="s">
        <v>2850</v>
      </c>
    </row>
    <row r="1952" spans="8:9">
      <c r="H1952" s="20" t="s">
        <v>1991</v>
      </c>
      <c r="I1952" s="22" t="s">
        <v>2849</v>
      </c>
    </row>
    <row r="1953" spans="8:9">
      <c r="H1953" s="20" t="s">
        <v>1992</v>
      </c>
      <c r="I1953" s="21" t="s">
        <v>2852</v>
      </c>
    </row>
    <row r="1954" spans="8:9">
      <c r="H1954" s="20" t="s">
        <v>1993</v>
      </c>
      <c r="I1954" s="22" t="s">
        <v>2848</v>
      </c>
    </row>
    <row r="1955" spans="8:9">
      <c r="H1955" s="20" t="s">
        <v>1994</v>
      </c>
      <c r="I1955" s="22" t="s">
        <v>2850</v>
      </c>
    </row>
    <row r="1956" spans="8:9">
      <c r="H1956" s="20" t="s">
        <v>1995</v>
      </c>
      <c r="I1956" s="22" t="s">
        <v>2850</v>
      </c>
    </row>
    <row r="1957" spans="8:9">
      <c r="H1957" s="20" t="s">
        <v>1996</v>
      </c>
      <c r="I1957" s="22" t="s">
        <v>2850</v>
      </c>
    </row>
    <row r="1958" spans="8:9">
      <c r="H1958" s="20" t="s">
        <v>1997</v>
      </c>
      <c r="I1958" s="22" t="s">
        <v>2850</v>
      </c>
    </row>
    <row r="1959" spans="8:9">
      <c r="H1959" s="20" t="s">
        <v>1998</v>
      </c>
      <c r="I1959" s="21" t="s">
        <v>2850</v>
      </c>
    </row>
    <row r="1960" spans="8:9">
      <c r="H1960" s="20" t="s">
        <v>1999</v>
      </c>
      <c r="I1960" s="21" t="s">
        <v>2850</v>
      </c>
    </row>
    <row r="1961" spans="8:9">
      <c r="H1961" s="20" t="s">
        <v>2000</v>
      </c>
      <c r="I1961" s="21" t="s">
        <v>2850</v>
      </c>
    </row>
    <row r="1962" spans="8:9">
      <c r="H1962" s="20" t="s">
        <v>2001</v>
      </c>
      <c r="I1962" s="21" t="s">
        <v>2850</v>
      </c>
    </row>
    <row r="1963" spans="8:9">
      <c r="H1963" s="20" t="s">
        <v>2002</v>
      </c>
      <c r="I1963" s="22" t="s">
        <v>2849</v>
      </c>
    </row>
    <row r="1964" spans="8:9">
      <c r="H1964" s="20" t="s">
        <v>2003</v>
      </c>
      <c r="I1964" s="22" t="s">
        <v>2848</v>
      </c>
    </row>
    <row r="1965" spans="8:9">
      <c r="H1965" s="20" t="s">
        <v>2004</v>
      </c>
      <c r="I1965" s="22" t="s">
        <v>2849</v>
      </c>
    </row>
    <row r="1966" spans="8:9">
      <c r="H1966" s="20" t="s">
        <v>2005</v>
      </c>
      <c r="I1966" s="22" t="s">
        <v>2849</v>
      </c>
    </row>
    <row r="1967" spans="8:9">
      <c r="H1967" s="20" t="s">
        <v>2006</v>
      </c>
      <c r="I1967" s="22" t="s">
        <v>2849</v>
      </c>
    </row>
    <row r="1968" spans="8:9">
      <c r="H1968" s="20" t="s">
        <v>2007</v>
      </c>
      <c r="I1968" s="22" t="s">
        <v>2849</v>
      </c>
    </row>
    <row r="1969" spans="8:9">
      <c r="H1969" s="20" t="s">
        <v>2008</v>
      </c>
      <c r="I1969" s="22" t="s">
        <v>2849</v>
      </c>
    </row>
    <row r="1970" spans="8:9">
      <c r="H1970" s="20" t="s">
        <v>2009</v>
      </c>
      <c r="I1970" s="21" t="s">
        <v>2852</v>
      </c>
    </row>
    <row r="1971" spans="8:9">
      <c r="H1971" s="20" t="s">
        <v>2010</v>
      </c>
      <c r="I1971" s="22" t="s">
        <v>2848</v>
      </c>
    </row>
    <row r="1972" spans="8:9">
      <c r="H1972" s="20" t="s">
        <v>2011</v>
      </c>
      <c r="I1972" s="22" t="s">
        <v>2848</v>
      </c>
    </row>
    <row r="1973" spans="8:9">
      <c r="H1973" s="20" t="s">
        <v>2012</v>
      </c>
      <c r="I1973" s="22" t="s">
        <v>2848</v>
      </c>
    </row>
    <row r="1974" spans="8:9">
      <c r="H1974" s="20" t="s">
        <v>2013</v>
      </c>
      <c r="I1974" s="22" t="s">
        <v>2849</v>
      </c>
    </row>
    <row r="1975" spans="8:9">
      <c r="H1975" s="20" t="s">
        <v>2014</v>
      </c>
      <c r="I1975" s="22" t="s">
        <v>2849</v>
      </c>
    </row>
    <row r="1976" spans="8:9">
      <c r="H1976" s="20" t="s">
        <v>2015</v>
      </c>
      <c r="I1976" s="22" t="s">
        <v>2850</v>
      </c>
    </row>
    <row r="1977" spans="8:9">
      <c r="H1977" s="20" t="s">
        <v>2016</v>
      </c>
      <c r="I1977" s="22" t="s">
        <v>2850</v>
      </c>
    </row>
    <row r="1978" spans="8:9">
      <c r="H1978" s="20" t="s">
        <v>2017</v>
      </c>
      <c r="I1978" s="22" t="s">
        <v>2850</v>
      </c>
    </row>
    <row r="1979" spans="8:9">
      <c r="H1979" s="20" t="s">
        <v>2018</v>
      </c>
      <c r="I1979" s="21" t="s">
        <v>2852</v>
      </c>
    </row>
    <row r="1980" spans="8:9">
      <c r="H1980" s="20" t="s">
        <v>2019</v>
      </c>
      <c r="I1980" s="22" t="s">
        <v>2850</v>
      </c>
    </row>
    <row r="1981" spans="8:9">
      <c r="H1981" s="20" t="s">
        <v>2020</v>
      </c>
      <c r="I1981" s="21" t="s">
        <v>2848</v>
      </c>
    </row>
    <row r="1982" spans="8:9">
      <c r="H1982" s="20" t="s">
        <v>2021</v>
      </c>
      <c r="I1982" s="21" t="s">
        <v>2848</v>
      </c>
    </row>
    <row r="1983" spans="8:9">
      <c r="H1983" s="20" t="s">
        <v>2022</v>
      </c>
      <c r="I1983" s="21" t="s">
        <v>2850</v>
      </c>
    </row>
    <row r="1984" spans="8:9">
      <c r="H1984" s="20" t="s">
        <v>2023</v>
      </c>
      <c r="I1984" s="22" t="s">
        <v>2850</v>
      </c>
    </row>
    <row r="1985" spans="8:9">
      <c r="H1985" s="20" t="s">
        <v>2024</v>
      </c>
      <c r="I1985" s="22" t="s">
        <v>2850</v>
      </c>
    </row>
    <row r="1986" spans="8:9">
      <c r="H1986" s="20" t="s">
        <v>2025</v>
      </c>
      <c r="I1986" s="21" t="s">
        <v>2848</v>
      </c>
    </row>
    <row r="1987" spans="8:9">
      <c r="H1987" s="20" t="s">
        <v>2026</v>
      </c>
      <c r="I1987" s="22" t="s">
        <v>2850</v>
      </c>
    </row>
    <row r="1988" spans="8:9">
      <c r="H1988" s="20" t="s">
        <v>2027</v>
      </c>
      <c r="I1988" s="21" t="s">
        <v>2850</v>
      </c>
    </row>
    <row r="1989" spans="8:9">
      <c r="H1989" s="20" t="s">
        <v>2028</v>
      </c>
      <c r="I1989" s="22" t="s">
        <v>2850</v>
      </c>
    </row>
    <row r="1990" spans="8:9">
      <c r="H1990" s="20" t="s">
        <v>2029</v>
      </c>
      <c r="I1990" s="21" t="s">
        <v>2850</v>
      </c>
    </row>
    <row r="1991" spans="8:9">
      <c r="H1991" s="20" t="s">
        <v>2030</v>
      </c>
      <c r="I1991" s="21" t="s">
        <v>2848</v>
      </c>
    </row>
    <row r="1992" spans="8:9">
      <c r="H1992" s="20" t="s">
        <v>2031</v>
      </c>
      <c r="I1992" s="22" t="s">
        <v>2848</v>
      </c>
    </row>
    <row r="1993" spans="8:9">
      <c r="H1993" s="20" t="s">
        <v>2032</v>
      </c>
      <c r="I1993" s="22" t="s">
        <v>2848</v>
      </c>
    </row>
    <row r="1994" spans="8:9">
      <c r="H1994" s="20" t="s">
        <v>2033</v>
      </c>
      <c r="I1994" s="22" t="s">
        <v>2848</v>
      </c>
    </row>
    <row r="1995" spans="8:9">
      <c r="H1995" s="20" t="s">
        <v>2034</v>
      </c>
      <c r="I1995" s="22" t="s">
        <v>2848</v>
      </c>
    </row>
    <row r="1996" spans="8:9">
      <c r="H1996" s="20" t="s">
        <v>2035</v>
      </c>
      <c r="I1996" s="22" t="s">
        <v>2848</v>
      </c>
    </row>
    <row r="1997" spans="8:9">
      <c r="H1997" s="20" t="s">
        <v>2036</v>
      </c>
      <c r="I1997" s="22" t="s">
        <v>2848</v>
      </c>
    </row>
    <row r="1998" spans="8:9">
      <c r="H1998" s="20" t="s">
        <v>2037</v>
      </c>
      <c r="I1998" s="22" t="s">
        <v>2848</v>
      </c>
    </row>
    <row r="1999" spans="8:9">
      <c r="H1999" s="20" t="s">
        <v>2038</v>
      </c>
      <c r="I1999" s="21" t="s">
        <v>2848</v>
      </c>
    </row>
    <row r="2000" spans="8:9">
      <c r="H2000" s="20" t="s">
        <v>2039</v>
      </c>
      <c r="I2000" s="21" t="s">
        <v>2852</v>
      </c>
    </row>
    <row r="2001" spans="8:9">
      <c r="H2001" s="20" t="s">
        <v>2040</v>
      </c>
      <c r="I2001" s="21" t="s">
        <v>2852</v>
      </c>
    </row>
    <row r="2002" spans="8:9">
      <c r="H2002" s="20" t="s">
        <v>2041</v>
      </c>
      <c r="I2002" s="21" t="s">
        <v>2852</v>
      </c>
    </row>
    <row r="2003" spans="8:9">
      <c r="H2003" s="20" t="s">
        <v>2042</v>
      </c>
      <c r="I2003" s="21" t="s">
        <v>2852</v>
      </c>
    </row>
    <row r="2004" spans="8:9">
      <c r="H2004" s="20" t="s">
        <v>2043</v>
      </c>
      <c r="I2004" s="21" t="s">
        <v>2852</v>
      </c>
    </row>
    <row r="2005" spans="8:9">
      <c r="H2005" s="20" t="s">
        <v>2044</v>
      </c>
      <c r="I2005" s="21" t="s">
        <v>2852</v>
      </c>
    </row>
    <row r="2006" spans="8:9">
      <c r="H2006" s="20" t="s">
        <v>2045</v>
      </c>
      <c r="I2006" s="21" t="s">
        <v>2850</v>
      </c>
    </row>
    <row r="2007" spans="8:9">
      <c r="H2007" s="20" t="s">
        <v>2046</v>
      </c>
      <c r="I2007" s="22" t="s">
        <v>2849</v>
      </c>
    </row>
    <row r="2008" spans="8:9">
      <c r="H2008" s="20" t="s">
        <v>2047</v>
      </c>
      <c r="I2008" s="21" t="s">
        <v>2849</v>
      </c>
    </row>
    <row r="2009" spans="8:9">
      <c r="H2009" s="20" t="s">
        <v>2048</v>
      </c>
      <c r="I2009" s="21" t="s">
        <v>2849</v>
      </c>
    </row>
    <row r="2010" spans="8:9">
      <c r="H2010" s="20" t="s">
        <v>2048</v>
      </c>
      <c r="I2010" s="22" t="s">
        <v>2849</v>
      </c>
    </row>
    <row r="2011" spans="8:9">
      <c r="H2011" s="20" t="s">
        <v>2049</v>
      </c>
      <c r="I2011" s="22" t="s">
        <v>2848</v>
      </c>
    </row>
    <row r="2012" spans="8:9">
      <c r="H2012" s="20" t="s">
        <v>2050</v>
      </c>
      <c r="I2012" s="22" t="s">
        <v>2848</v>
      </c>
    </row>
    <row r="2013" spans="8:9">
      <c r="H2013" s="20" t="s">
        <v>2051</v>
      </c>
      <c r="I2013" s="22" t="s">
        <v>2849</v>
      </c>
    </row>
    <row r="2014" spans="8:9">
      <c r="H2014" s="20" t="s">
        <v>2052</v>
      </c>
      <c r="I2014" s="22" t="s">
        <v>2849</v>
      </c>
    </row>
    <row r="2015" spans="8:9">
      <c r="H2015" s="20" t="s">
        <v>2053</v>
      </c>
      <c r="I2015" s="21" t="s">
        <v>2852</v>
      </c>
    </row>
    <row r="2016" spans="8:9">
      <c r="H2016" s="20" t="s">
        <v>2054</v>
      </c>
      <c r="I2016" s="21" t="s">
        <v>2850</v>
      </c>
    </row>
    <row r="2017" spans="8:9">
      <c r="H2017" s="20" t="s">
        <v>2055</v>
      </c>
      <c r="I2017" s="21" t="s">
        <v>2850</v>
      </c>
    </row>
    <row r="2018" spans="8:9">
      <c r="H2018" s="20" t="s">
        <v>2056</v>
      </c>
      <c r="I2018" s="21" t="s">
        <v>2852</v>
      </c>
    </row>
    <row r="2019" spans="8:9">
      <c r="H2019" s="20" t="s">
        <v>2057</v>
      </c>
      <c r="I2019" s="22" t="s">
        <v>2849</v>
      </c>
    </row>
    <row r="2020" spans="8:9">
      <c r="H2020" s="20" t="s">
        <v>2058</v>
      </c>
      <c r="I2020" s="22" t="s">
        <v>2849</v>
      </c>
    </row>
    <row r="2021" spans="8:9">
      <c r="H2021" s="20" t="s">
        <v>2059</v>
      </c>
      <c r="I2021" s="22" t="s">
        <v>2848</v>
      </c>
    </row>
    <row r="2022" spans="8:9">
      <c r="H2022" s="20" t="s">
        <v>2060</v>
      </c>
      <c r="I2022" s="22" t="s">
        <v>2856</v>
      </c>
    </row>
    <row r="2023" spans="8:9">
      <c r="H2023" s="20" t="s">
        <v>2061</v>
      </c>
      <c r="I2023" s="22" t="s">
        <v>2856</v>
      </c>
    </row>
    <row r="2024" spans="8:9">
      <c r="H2024" s="20" t="s">
        <v>2062</v>
      </c>
      <c r="I2024" s="22" t="s">
        <v>2856</v>
      </c>
    </row>
    <row r="2025" spans="8:9">
      <c r="H2025" s="20" t="s">
        <v>2063</v>
      </c>
      <c r="I2025" s="22" t="s">
        <v>2856</v>
      </c>
    </row>
    <row r="2026" spans="8:9">
      <c r="H2026" s="20" t="s">
        <v>2064</v>
      </c>
      <c r="I2026" s="22" t="s">
        <v>2848</v>
      </c>
    </row>
    <row r="2027" spans="8:9">
      <c r="H2027" s="20" t="s">
        <v>2065</v>
      </c>
      <c r="I2027" s="22" t="s">
        <v>2849</v>
      </c>
    </row>
    <row r="2028" spans="8:9">
      <c r="H2028" s="20" t="s">
        <v>2066</v>
      </c>
      <c r="I2028" s="22" t="s">
        <v>2852</v>
      </c>
    </row>
    <row r="2029" spans="8:9">
      <c r="H2029" s="20" t="s">
        <v>2067</v>
      </c>
      <c r="I2029" s="22" t="s">
        <v>2852</v>
      </c>
    </row>
    <row r="2030" spans="8:9">
      <c r="H2030" s="20" t="s">
        <v>2068</v>
      </c>
      <c r="I2030" s="21" t="s">
        <v>2852</v>
      </c>
    </row>
    <row r="2031" spans="8:9">
      <c r="H2031" s="20" t="s">
        <v>2069</v>
      </c>
      <c r="I2031" s="22" t="s">
        <v>2848</v>
      </c>
    </row>
    <row r="2032" spans="8:9">
      <c r="H2032" s="20" t="s">
        <v>2070</v>
      </c>
      <c r="I2032" s="22" t="s">
        <v>2848</v>
      </c>
    </row>
    <row r="2033" spans="8:9">
      <c r="H2033" s="20" t="s">
        <v>2071</v>
      </c>
      <c r="I2033" s="21" t="s">
        <v>2848</v>
      </c>
    </row>
    <row r="2034" spans="8:9">
      <c r="H2034" s="20" t="s">
        <v>2072</v>
      </c>
      <c r="I2034" s="22" t="s">
        <v>2848</v>
      </c>
    </row>
    <row r="2035" spans="8:9">
      <c r="H2035" s="20" t="s">
        <v>2073</v>
      </c>
      <c r="I2035" s="22" t="s">
        <v>2849</v>
      </c>
    </row>
    <row r="2036" spans="8:9">
      <c r="H2036" s="20" t="s">
        <v>2074</v>
      </c>
      <c r="I2036" s="21" t="s">
        <v>2848</v>
      </c>
    </row>
    <row r="2037" spans="8:9">
      <c r="H2037" s="20" t="s">
        <v>2075</v>
      </c>
      <c r="I2037" s="21" t="s">
        <v>2848</v>
      </c>
    </row>
    <row r="2038" spans="8:9">
      <c r="H2038" s="20" t="s">
        <v>2076</v>
      </c>
      <c r="I2038" s="22" t="s">
        <v>2848</v>
      </c>
    </row>
    <row r="2039" spans="8:9">
      <c r="H2039" s="20" t="s">
        <v>2077</v>
      </c>
      <c r="I2039" s="22" t="s">
        <v>2849</v>
      </c>
    </row>
    <row r="2040" spans="8:9">
      <c r="H2040" s="20" t="s">
        <v>2078</v>
      </c>
      <c r="I2040" s="22" t="s">
        <v>2848</v>
      </c>
    </row>
    <row r="2041" spans="8:9">
      <c r="H2041" s="262" t="s">
        <v>2079</v>
      </c>
      <c r="I2041" s="22" t="s">
        <v>2849</v>
      </c>
    </row>
    <row r="2042" spans="8:9">
      <c r="H2042" s="20" t="s">
        <v>2080</v>
      </c>
      <c r="I2042" s="21" t="s">
        <v>2849</v>
      </c>
    </row>
    <row r="2043" spans="8:9">
      <c r="H2043" s="20" t="s">
        <v>2081</v>
      </c>
      <c r="I2043" s="22" t="s">
        <v>2849</v>
      </c>
    </row>
    <row r="2044" spans="8:9">
      <c r="H2044" s="20" t="s">
        <v>2082</v>
      </c>
      <c r="I2044" s="21" t="s">
        <v>2852</v>
      </c>
    </row>
    <row r="2045" spans="8:9">
      <c r="H2045" s="20" t="s">
        <v>2083</v>
      </c>
      <c r="I2045" s="22" t="s">
        <v>2848</v>
      </c>
    </row>
    <row r="2046" spans="8:9">
      <c r="H2046" s="20" t="s">
        <v>2084</v>
      </c>
      <c r="I2046" s="21" t="s">
        <v>2849</v>
      </c>
    </row>
    <row r="2047" spans="8:9">
      <c r="H2047" s="20" t="s">
        <v>2085</v>
      </c>
      <c r="I2047" s="22" t="s">
        <v>2849</v>
      </c>
    </row>
    <row r="2048" spans="8:9">
      <c r="H2048" s="20" t="s">
        <v>2086</v>
      </c>
      <c r="I2048" s="22" t="s">
        <v>2848</v>
      </c>
    </row>
    <row r="2049" spans="8:9">
      <c r="H2049" s="20" t="s">
        <v>2087</v>
      </c>
      <c r="I2049" s="21" t="s">
        <v>2848</v>
      </c>
    </row>
    <row r="2050" spans="8:9">
      <c r="H2050" s="20" t="s">
        <v>2088</v>
      </c>
      <c r="I2050" s="22" t="s">
        <v>2849</v>
      </c>
    </row>
    <row r="2051" spans="8:9">
      <c r="H2051" s="20" t="s">
        <v>2089</v>
      </c>
      <c r="I2051" s="22" t="s">
        <v>2849</v>
      </c>
    </row>
    <row r="2052" spans="8:9">
      <c r="H2052" s="20" t="s">
        <v>2090</v>
      </c>
      <c r="I2052" s="21" t="s">
        <v>2850</v>
      </c>
    </row>
    <row r="2053" spans="8:9">
      <c r="H2053" s="20" t="s">
        <v>2091</v>
      </c>
      <c r="I2053" s="22" t="s">
        <v>2849</v>
      </c>
    </row>
    <row r="2054" spans="8:9">
      <c r="H2054" s="20" t="s">
        <v>2092</v>
      </c>
      <c r="I2054" s="21" t="s">
        <v>2848</v>
      </c>
    </row>
    <row r="2055" spans="8:9">
      <c r="H2055" s="20" t="s">
        <v>2093</v>
      </c>
      <c r="I2055" s="22" t="s">
        <v>2848</v>
      </c>
    </row>
    <row r="2056" spans="8:9">
      <c r="H2056" s="20" t="s">
        <v>2094</v>
      </c>
      <c r="I2056" s="21" t="s">
        <v>2850</v>
      </c>
    </row>
    <row r="2057" spans="8:9">
      <c r="H2057" s="20" t="s">
        <v>2095</v>
      </c>
      <c r="I2057" s="22" t="s">
        <v>2849</v>
      </c>
    </row>
    <row r="2058" spans="8:9">
      <c r="H2058" s="20" t="s">
        <v>2096</v>
      </c>
      <c r="I2058" s="22" t="s">
        <v>2848</v>
      </c>
    </row>
    <row r="2059" spans="8:9">
      <c r="H2059" s="20" t="s">
        <v>2097</v>
      </c>
      <c r="I2059" s="21" t="s">
        <v>2850</v>
      </c>
    </row>
    <row r="2060" spans="8:9">
      <c r="H2060" s="20" t="s">
        <v>2098</v>
      </c>
      <c r="I2060" s="22" t="s">
        <v>2849</v>
      </c>
    </row>
    <row r="2061" spans="8:9">
      <c r="H2061" s="262" t="s">
        <v>2099</v>
      </c>
      <c r="I2061" s="22" t="s">
        <v>2849</v>
      </c>
    </row>
    <row r="2062" spans="8:9">
      <c r="H2062" s="20" t="s">
        <v>2100</v>
      </c>
      <c r="I2062" s="22" t="s">
        <v>2848</v>
      </c>
    </row>
    <row r="2063" spans="8:9">
      <c r="H2063" s="20" t="s">
        <v>2101</v>
      </c>
      <c r="I2063" s="21" t="s">
        <v>2848</v>
      </c>
    </row>
    <row r="2064" spans="8:9">
      <c r="H2064" s="20" t="s">
        <v>2102</v>
      </c>
      <c r="I2064" s="22" t="s">
        <v>2848</v>
      </c>
    </row>
    <row r="2065" spans="8:9">
      <c r="H2065" s="20" t="s">
        <v>2103</v>
      </c>
      <c r="I2065" s="22" t="s">
        <v>2848</v>
      </c>
    </row>
    <row r="2066" spans="8:9">
      <c r="H2066" s="20" t="s">
        <v>2104</v>
      </c>
      <c r="I2066" s="22" t="s">
        <v>2848</v>
      </c>
    </row>
    <row r="2067" spans="8:9">
      <c r="H2067" s="20" t="s">
        <v>2105</v>
      </c>
      <c r="I2067" s="22" t="s">
        <v>2848</v>
      </c>
    </row>
    <row r="2068" spans="8:9">
      <c r="H2068" s="20" t="s">
        <v>2106</v>
      </c>
      <c r="I2068" s="22" t="s">
        <v>2848</v>
      </c>
    </row>
    <row r="2069" spans="8:9">
      <c r="H2069" s="20" t="s">
        <v>2107</v>
      </c>
      <c r="I2069" s="21" t="s">
        <v>2848</v>
      </c>
    </row>
    <row r="2070" spans="8:9">
      <c r="H2070" s="20" t="s">
        <v>2108</v>
      </c>
      <c r="I2070" s="21" t="s">
        <v>2850</v>
      </c>
    </row>
    <row r="2071" spans="8:9">
      <c r="H2071" s="20" t="s">
        <v>2109</v>
      </c>
      <c r="I2071" s="22" t="s">
        <v>2848</v>
      </c>
    </row>
    <row r="2072" spans="8:9">
      <c r="H2072" s="20" t="s">
        <v>2110</v>
      </c>
      <c r="I2072" s="21" t="s">
        <v>2848</v>
      </c>
    </row>
    <row r="2073" spans="8:9">
      <c r="H2073" s="20" t="s">
        <v>2111</v>
      </c>
      <c r="I2073" s="21" t="s">
        <v>2850</v>
      </c>
    </row>
    <row r="2074" spans="8:9">
      <c r="H2074" s="20" t="s">
        <v>2112</v>
      </c>
      <c r="I2074" s="21" t="s">
        <v>2852</v>
      </c>
    </row>
    <row r="2075" spans="8:9">
      <c r="H2075" s="20" t="s">
        <v>2113</v>
      </c>
      <c r="I2075" s="22" t="s">
        <v>2848</v>
      </c>
    </row>
    <row r="2076" spans="8:9">
      <c r="H2076" s="20" t="s">
        <v>2114</v>
      </c>
      <c r="I2076" s="21" t="s">
        <v>2850</v>
      </c>
    </row>
    <row r="2077" spans="8:9">
      <c r="H2077" s="20" t="s">
        <v>2115</v>
      </c>
      <c r="I2077" s="22" t="s">
        <v>2848</v>
      </c>
    </row>
    <row r="2078" spans="8:9">
      <c r="H2078" s="20" t="s">
        <v>2116</v>
      </c>
      <c r="I2078" s="21" t="s">
        <v>2848</v>
      </c>
    </row>
    <row r="2079" spans="8:9">
      <c r="H2079" s="20" t="s">
        <v>2117</v>
      </c>
      <c r="I2079" s="21" t="s">
        <v>2850</v>
      </c>
    </row>
    <row r="2080" spans="8:9">
      <c r="H2080" s="20" t="s">
        <v>2118</v>
      </c>
      <c r="I2080" s="21" t="s">
        <v>2850</v>
      </c>
    </row>
    <row r="2081" spans="8:9">
      <c r="H2081" s="20" t="s">
        <v>2119</v>
      </c>
      <c r="I2081" s="21" t="s">
        <v>2850</v>
      </c>
    </row>
    <row r="2082" spans="8:9">
      <c r="H2082" s="20" t="s">
        <v>2120</v>
      </c>
      <c r="I2082" s="22" t="s">
        <v>2848</v>
      </c>
    </row>
    <row r="2083" spans="8:9">
      <c r="H2083" s="20" t="s">
        <v>2121</v>
      </c>
      <c r="I2083" s="22" t="s">
        <v>2848</v>
      </c>
    </row>
    <row r="2084" spans="8:9">
      <c r="H2084" s="20" t="s">
        <v>2122</v>
      </c>
      <c r="I2084" s="22" t="s">
        <v>2848</v>
      </c>
    </row>
    <row r="2085" spans="8:9">
      <c r="H2085" s="20" t="s">
        <v>2123</v>
      </c>
      <c r="I2085" s="21" t="s">
        <v>2848</v>
      </c>
    </row>
    <row r="2086" spans="8:9">
      <c r="H2086" s="20" t="s">
        <v>2124</v>
      </c>
      <c r="I2086" s="22" t="s">
        <v>2850</v>
      </c>
    </row>
    <row r="2087" spans="8:9">
      <c r="H2087" s="20" t="s">
        <v>2125</v>
      </c>
      <c r="I2087" s="22" t="s">
        <v>2850</v>
      </c>
    </row>
    <row r="2088" spans="8:9">
      <c r="H2088" s="20" t="s">
        <v>2126</v>
      </c>
      <c r="I2088" s="22" t="s">
        <v>2850</v>
      </c>
    </row>
    <row r="2089" spans="8:9">
      <c r="H2089" s="20" t="s">
        <v>2127</v>
      </c>
      <c r="I2089" s="22" t="s">
        <v>2850</v>
      </c>
    </row>
    <row r="2090" spans="8:9">
      <c r="H2090" s="20" t="s">
        <v>2128</v>
      </c>
      <c r="I2090" s="22" t="s">
        <v>2850</v>
      </c>
    </row>
    <row r="2091" spans="8:9">
      <c r="H2091" s="20" t="s">
        <v>2129</v>
      </c>
      <c r="I2091" s="22" t="s">
        <v>2850</v>
      </c>
    </row>
    <row r="2092" spans="8:9">
      <c r="H2092" s="20" t="s">
        <v>2130</v>
      </c>
      <c r="I2092" s="21" t="s">
        <v>2850</v>
      </c>
    </row>
    <row r="2093" spans="8:9">
      <c r="H2093" s="20" t="s">
        <v>2131</v>
      </c>
      <c r="I2093" s="22" t="s">
        <v>2850</v>
      </c>
    </row>
    <row r="2094" spans="8:9">
      <c r="H2094" s="20" t="s">
        <v>2132</v>
      </c>
      <c r="I2094" s="22" t="s">
        <v>2849</v>
      </c>
    </row>
    <row r="2095" spans="8:9">
      <c r="H2095" s="20" t="s">
        <v>2133</v>
      </c>
      <c r="I2095" s="22" t="s">
        <v>2849</v>
      </c>
    </row>
    <row r="2096" spans="8:9">
      <c r="H2096" s="20" t="s">
        <v>2134</v>
      </c>
      <c r="I2096" s="22" t="s">
        <v>2848</v>
      </c>
    </row>
    <row r="2097" spans="8:9">
      <c r="H2097" s="20" t="s">
        <v>2135</v>
      </c>
      <c r="I2097" s="21" t="s">
        <v>2850</v>
      </c>
    </row>
    <row r="2098" spans="8:9">
      <c r="H2098" s="262" t="s">
        <v>2136</v>
      </c>
      <c r="I2098" s="22" t="s">
        <v>2849</v>
      </c>
    </row>
    <row r="2099" spans="8:9">
      <c r="H2099" s="20" t="s">
        <v>2137</v>
      </c>
      <c r="I2099" s="21" t="s">
        <v>2848</v>
      </c>
    </row>
    <row r="2100" spans="8:9">
      <c r="H2100" s="20" t="s">
        <v>2138</v>
      </c>
      <c r="I2100" s="21" t="s">
        <v>2850</v>
      </c>
    </row>
    <row r="2101" spans="8:9">
      <c r="H2101" s="20" t="s">
        <v>2139</v>
      </c>
      <c r="I2101" s="22" t="s">
        <v>2850</v>
      </c>
    </row>
    <row r="2102" spans="8:9">
      <c r="H2102" s="20" t="s">
        <v>2140</v>
      </c>
      <c r="I2102" s="22" t="s">
        <v>2850</v>
      </c>
    </row>
    <row r="2103" spans="8:9">
      <c r="H2103" s="20" t="s">
        <v>2141</v>
      </c>
      <c r="I2103" s="22" t="s">
        <v>2850</v>
      </c>
    </row>
    <row r="2104" spans="8:9">
      <c r="H2104" s="20" t="s">
        <v>2142</v>
      </c>
      <c r="I2104" s="21" t="s">
        <v>2850</v>
      </c>
    </row>
    <row r="2105" spans="8:9">
      <c r="H2105" s="20" t="s">
        <v>2143</v>
      </c>
      <c r="I2105" s="21" t="s">
        <v>2850</v>
      </c>
    </row>
    <row r="2106" spans="8:9">
      <c r="H2106" s="20" t="s">
        <v>2144</v>
      </c>
      <c r="I2106" s="22" t="s">
        <v>2850</v>
      </c>
    </row>
    <row r="2107" spans="8:9">
      <c r="H2107" s="20" t="s">
        <v>2145</v>
      </c>
      <c r="I2107" s="21" t="s">
        <v>2852</v>
      </c>
    </row>
    <row r="2108" spans="8:9">
      <c r="H2108" s="20" t="s">
        <v>2146</v>
      </c>
      <c r="I2108" s="22" t="s">
        <v>2850</v>
      </c>
    </row>
    <row r="2109" spans="8:9">
      <c r="H2109" s="20" t="s">
        <v>2147</v>
      </c>
      <c r="I2109" s="21" t="s">
        <v>2852</v>
      </c>
    </row>
    <row r="2110" spans="8:9">
      <c r="H2110" s="20" t="s">
        <v>2148</v>
      </c>
      <c r="I2110" s="21" t="s">
        <v>2850</v>
      </c>
    </row>
    <row r="2111" spans="8:9">
      <c r="H2111" s="20" t="s">
        <v>2149</v>
      </c>
      <c r="I2111" s="22" t="s">
        <v>2850</v>
      </c>
    </row>
    <row r="2112" spans="8:9">
      <c r="H2112" s="20" t="s">
        <v>2150</v>
      </c>
      <c r="I2112" s="21" t="s">
        <v>2852</v>
      </c>
    </row>
    <row r="2113" spans="8:9">
      <c r="H2113" s="20" t="s">
        <v>2151</v>
      </c>
      <c r="I2113" s="22" t="s">
        <v>2848</v>
      </c>
    </row>
    <row r="2114" spans="8:9">
      <c r="H2114" s="20" t="s">
        <v>2152</v>
      </c>
      <c r="I2114" s="21" t="s">
        <v>2850</v>
      </c>
    </row>
    <row r="2115" spans="8:9">
      <c r="H2115" s="20" t="s">
        <v>2153</v>
      </c>
      <c r="I2115" s="21" t="s">
        <v>2849</v>
      </c>
    </row>
    <row r="2116" spans="8:9">
      <c r="H2116" s="20" t="s">
        <v>2154</v>
      </c>
      <c r="I2116" s="21" t="s">
        <v>2848</v>
      </c>
    </row>
    <row r="2117" spans="8:9">
      <c r="H2117" s="20" t="s">
        <v>2155</v>
      </c>
      <c r="I2117" s="21" t="s">
        <v>2848</v>
      </c>
    </row>
    <row r="2118" spans="8:9">
      <c r="H2118" s="20" t="s">
        <v>2156</v>
      </c>
      <c r="I2118" s="22" t="s">
        <v>2848</v>
      </c>
    </row>
    <row r="2119" spans="8:9">
      <c r="H2119" s="20" t="s">
        <v>2157</v>
      </c>
      <c r="I2119" s="22" t="s">
        <v>2848</v>
      </c>
    </row>
    <row r="2120" spans="8:9">
      <c r="H2120" s="20" t="s">
        <v>2158</v>
      </c>
      <c r="I2120" s="22" t="s">
        <v>2848</v>
      </c>
    </row>
    <row r="2121" spans="8:9">
      <c r="H2121" s="20" t="s">
        <v>2159</v>
      </c>
      <c r="I2121" s="22" t="s">
        <v>2848</v>
      </c>
    </row>
    <row r="2122" spans="8:9">
      <c r="H2122" s="20" t="s">
        <v>2160</v>
      </c>
      <c r="I2122" s="22" t="s">
        <v>2848</v>
      </c>
    </row>
    <row r="2123" spans="8:9">
      <c r="H2123" s="20" t="s">
        <v>2161</v>
      </c>
      <c r="I2123" s="22" t="s">
        <v>2848</v>
      </c>
    </row>
    <row r="2124" spans="8:9">
      <c r="H2124" s="20" t="s">
        <v>2162</v>
      </c>
      <c r="I2124" s="22" t="s">
        <v>2850</v>
      </c>
    </row>
    <row r="2125" spans="8:9">
      <c r="H2125" s="20" t="s">
        <v>2163</v>
      </c>
      <c r="I2125" s="22" t="s">
        <v>2850</v>
      </c>
    </row>
    <row r="2126" spans="8:9">
      <c r="H2126" s="20" t="s">
        <v>2164</v>
      </c>
      <c r="I2126" s="21" t="s">
        <v>2852</v>
      </c>
    </row>
    <row r="2127" spans="8:9">
      <c r="H2127" s="20" t="s">
        <v>2165</v>
      </c>
      <c r="I2127" s="21" t="s">
        <v>2850</v>
      </c>
    </row>
    <row r="2128" spans="8:9">
      <c r="H2128" s="20" t="s">
        <v>2166</v>
      </c>
      <c r="I2128" s="21" t="s">
        <v>2852</v>
      </c>
    </row>
    <row r="2129" spans="8:9">
      <c r="H2129" s="20" t="s">
        <v>2167</v>
      </c>
      <c r="I2129" s="22" t="s">
        <v>2850</v>
      </c>
    </row>
    <row r="2130" spans="8:9">
      <c r="H2130" s="20" t="s">
        <v>2168</v>
      </c>
      <c r="I2130" s="22" t="s">
        <v>2850</v>
      </c>
    </row>
    <row r="2131" spans="8:9">
      <c r="H2131" s="20" t="s">
        <v>2169</v>
      </c>
      <c r="I2131" s="21" t="s">
        <v>2852</v>
      </c>
    </row>
    <row r="2132" spans="8:9">
      <c r="H2132" s="20" t="s">
        <v>2170</v>
      </c>
      <c r="I2132" s="22" t="s">
        <v>2850</v>
      </c>
    </row>
    <row r="2133" spans="8:9">
      <c r="H2133" s="20" t="s">
        <v>2171</v>
      </c>
      <c r="I2133" s="21" t="s">
        <v>2852</v>
      </c>
    </row>
    <row r="2134" spans="8:9">
      <c r="H2134" s="20" t="s">
        <v>2172</v>
      </c>
      <c r="I2134" s="21" t="s">
        <v>2852</v>
      </c>
    </row>
    <row r="2135" spans="8:9">
      <c r="H2135" s="20" t="s">
        <v>2173</v>
      </c>
      <c r="I2135" s="22" t="s">
        <v>2850</v>
      </c>
    </row>
    <row r="2136" spans="8:9">
      <c r="H2136" s="20" t="s">
        <v>2174</v>
      </c>
      <c r="I2136" s="22" t="s">
        <v>2850</v>
      </c>
    </row>
    <row r="2137" spans="8:9">
      <c r="H2137" s="20" t="s">
        <v>2175</v>
      </c>
      <c r="I2137" s="22" t="s">
        <v>2850</v>
      </c>
    </row>
    <row r="2138" spans="8:9">
      <c r="H2138" s="20" t="s">
        <v>2176</v>
      </c>
      <c r="I2138" s="22" t="s">
        <v>2850</v>
      </c>
    </row>
    <row r="2139" spans="8:9">
      <c r="H2139" s="20" t="s">
        <v>2177</v>
      </c>
      <c r="I2139" s="22" t="s">
        <v>2850</v>
      </c>
    </row>
    <row r="2140" spans="8:9">
      <c r="H2140" s="20" t="s">
        <v>2178</v>
      </c>
      <c r="I2140" s="22" t="s">
        <v>2850</v>
      </c>
    </row>
    <row r="2141" spans="8:9">
      <c r="H2141" s="20" t="s">
        <v>2179</v>
      </c>
      <c r="I2141" s="22" t="s">
        <v>2850</v>
      </c>
    </row>
    <row r="2142" spans="8:9">
      <c r="H2142" s="20" t="s">
        <v>2180</v>
      </c>
      <c r="I2142" s="22" t="s">
        <v>2850</v>
      </c>
    </row>
    <row r="2143" spans="8:9">
      <c r="H2143" s="20" t="s">
        <v>2181</v>
      </c>
      <c r="I2143" s="21" t="s">
        <v>2848</v>
      </c>
    </row>
    <row r="2144" spans="8:9">
      <c r="H2144" s="20" t="s">
        <v>2182</v>
      </c>
      <c r="I2144" s="21" t="s">
        <v>2852</v>
      </c>
    </row>
    <row r="2145" spans="8:9">
      <c r="H2145" s="20" t="s">
        <v>2183</v>
      </c>
      <c r="I2145" s="21" t="s">
        <v>2848</v>
      </c>
    </row>
    <row r="2146" spans="8:9">
      <c r="H2146" s="20" t="s">
        <v>2184</v>
      </c>
      <c r="I2146" s="21" t="s">
        <v>2852</v>
      </c>
    </row>
    <row r="2147" spans="8:9">
      <c r="H2147" s="20" t="s">
        <v>2185</v>
      </c>
      <c r="I2147" s="22" t="s">
        <v>2852</v>
      </c>
    </row>
    <row r="2148" spans="8:9">
      <c r="H2148" s="20" t="s">
        <v>2186</v>
      </c>
      <c r="I2148" s="21" t="s">
        <v>2852</v>
      </c>
    </row>
    <row r="2149" spans="8:9">
      <c r="H2149" s="20" t="s">
        <v>2187</v>
      </c>
      <c r="I2149" s="21" t="s">
        <v>2851</v>
      </c>
    </row>
    <row r="2150" spans="8:9">
      <c r="H2150" s="20" t="s">
        <v>2188</v>
      </c>
      <c r="I2150" s="22" t="s">
        <v>2850</v>
      </c>
    </row>
    <row r="2151" spans="8:9">
      <c r="H2151" s="20" t="s">
        <v>2189</v>
      </c>
      <c r="I2151" s="21" t="s">
        <v>2852</v>
      </c>
    </row>
    <row r="2152" spans="8:9">
      <c r="H2152" s="20" t="s">
        <v>2190</v>
      </c>
      <c r="I2152" s="21" t="s">
        <v>2850</v>
      </c>
    </row>
    <row r="2153" spans="8:9">
      <c r="H2153" s="20" t="s">
        <v>2191</v>
      </c>
      <c r="I2153" s="21" t="s">
        <v>2852</v>
      </c>
    </row>
    <row r="2154" spans="8:9">
      <c r="H2154" s="20" t="s">
        <v>2192</v>
      </c>
      <c r="I2154" s="21" t="s">
        <v>2852</v>
      </c>
    </row>
    <row r="2155" spans="8:9">
      <c r="H2155" s="20" t="s">
        <v>2193</v>
      </c>
      <c r="I2155" s="22" t="s">
        <v>2852</v>
      </c>
    </row>
    <row r="2156" spans="8:9">
      <c r="H2156" s="20" t="s">
        <v>2194</v>
      </c>
      <c r="I2156" s="22" t="s">
        <v>2850</v>
      </c>
    </row>
    <row r="2157" spans="8:9">
      <c r="H2157" s="20" t="s">
        <v>2195</v>
      </c>
      <c r="I2157" s="21" t="s">
        <v>2852</v>
      </c>
    </row>
    <row r="2158" spans="8:9">
      <c r="H2158" s="20" t="s">
        <v>2196</v>
      </c>
      <c r="I2158" s="22" t="s">
        <v>2850</v>
      </c>
    </row>
    <row r="2159" spans="8:9">
      <c r="H2159" s="20" t="s">
        <v>2197</v>
      </c>
      <c r="I2159" s="22" t="s">
        <v>2850</v>
      </c>
    </row>
    <row r="2160" spans="8:9">
      <c r="H2160" s="20" t="s">
        <v>2198</v>
      </c>
      <c r="I2160" s="22" t="s">
        <v>2850</v>
      </c>
    </row>
    <row r="2161" spans="8:9">
      <c r="H2161" s="20" t="s">
        <v>2199</v>
      </c>
      <c r="I2161" s="22" t="s">
        <v>2850</v>
      </c>
    </row>
    <row r="2162" spans="8:9">
      <c r="H2162" s="20" t="s">
        <v>2200</v>
      </c>
      <c r="I2162" s="22" t="s">
        <v>2850</v>
      </c>
    </row>
    <row r="2163" spans="8:9">
      <c r="H2163" s="20" t="s">
        <v>2201</v>
      </c>
      <c r="I2163" s="22" t="s">
        <v>2852</v>
      </c>
    </row>
    <row r="2164" spans="8:9">
      <c r="H2164" s="20" t="s">
        <v>2202</v>
      </c>
      <c r="I2164" s="21" t="s">
        <v>2850</v>
      </c>
    </row>
    <row r="2165" spans="8:9">
      <c r="H2165" s="20" t="s">
        <v>2203</v>
      </c>
      <c r="I2165" s="21" t="s">
        <v>2852</v>
      </c>
    </row>
    <row r="2166" spans="8:9">
      <c r="H2166" s="20" t="s">
        <v>2204</v>
      </c>
      <c r="I2166" s="22" t="s">
        <v>2850</v>
      </c>
    </row>
    <row r="2167" spans="8:9">
      <c r="H2167" s="20" t="s">
        <v>2205</v>
      </c>
      <c r="I2167" s="21" t="s">
        <v>2852</v>
      </c>
    </row>
    <row r="2168" spans="8:9">
      <c r="H2168" s="20" t="s">
        <v>2206</v>
      </c>
      <c r="I2168" s="22" t="s">
        <v>2850</v>
      </c>
    </row>
    <row r="2169" spans="8:9">
      <c r="H2169" s="20" t="s">
        <v>2207</v>
      </c>
      <c r="I2169" s="22" t="s">
        <v>2849</v>
      </c>
    </row>
    <row r="2170" spans="8:9">
      <c r="H2170" s="20" t="s">
        <v>2208</v>
      </c>
      <c r="I2170" s="22" t="s">
        <v>2849</v>
      </c>
    </row>
    <row r="2171" spans="8:9">
      <c r="H2171" s="20" t="s">
        <v>2209</v>
      </c>
      <c r="I2171" s="21" t="s">
        <v>2848</v>
      </c>
    </row>
    <row r="2172" spans="8:9">
      <c r="H2172" s="20" t="s">
        <v>2210</v>
      </c>
      <c r="I2172" s="22" t="s">
        <v>2849</v>
      </c>
    </row>
    <row r="2173" spans="8:9">
      <c r="H2173" s="20" t="s">
        <v>2211</v>
      </c>
      <c r="I2173" s="22" t="s">
        <v>2848</v>
      </c>
    </row>
    <row r="2174" spans="8:9">
      <c r="H2174" s="20" t="s">
        <v>2212</v>
      </c>
      <c r="I2174" s="22" t="s">
        <v>2849</v>
      </c>
    </row>
    <row r="2175" spans="8:9">
      <c r="H2175" s="20" t="s">
        <v>2213</v>
      </c>
      <c r="I2175" s="22" t="s">
        <v>2852</v>
      </c>
    </row>
    <row r="2176" spans="8:9">
      <c r="H2176" s="20" t="s">
        <v>2214</v>
      </c>
      <c r="I2176" s="21" t="s">
        <v>2852</v>
      </c>
    </row>
    <row r="2177" spans="8:9">
      <c r="H2177" s="20" t="s">
        <v>2215</v>
      </c>
      <c r="I2177" s="22" t="s">
        <v>2852</v>
      </c>
    </row>
    <row r="2178" spans="8:9">
      <c r="H2178" s="20" t="s">
        <v>2216</v>
      </c>
      <c r="I2178" s="22" t="s">
        <v>2849</v>
      </c>
    </row>
    <row r="2179" spans="8:9">
      <c r="H2179" s="20" t="s">
        <v>2217</v>
      </c>
      <c r="I2179" s="22" t="s">
        <v>2849</v>
      </c>
    </row>
    <row r="2180" spans="8:9">
      <c r="H2180" s="20" t="s">
        <v>2218</v>
      </c>
      <c r="I2180" s="21" t="s">
        <v>2852</v>
      </c>
    </row>
    <row r="2181" spans="8:9">
      <c r="H2181" s="20" t="s">
        <v>2219</v>
      </c>
      <c r="I2181" s="21" t="s">
        <v>2852</v>
      </c>
    </row>
    <row r="2182" spans="8:9">
      <c r="H2182" s="20" t="s">
        <v>2220</v>
      </c>
      <c r="I2182" s="22" t="s">
        <v>2849</v>
      </c>
    </row>
    <row r="2183" spans="8:9">
      <c r="H2183" s="20" t="s">
        <v>2221</v>
      </c>
      <c r="I2183" s="21" t="s">
        <v>2850</v>
      </c>
    </row>
    <row r="2184" spans="8:9">
      <c r="H2184" s="20" t="s">
        <v>2222</v>
      </c>
      <c r="I2184" s="21" t="s">
        <v>2849</v>
      </c>
    </row>
    <row r="2185" spans="8:9">
      <c r="H2185" s="20" t="s">
        <v>2223</v>
      </c>
      <c r="I2185" s="22" t="s">
        <v>2849</v>
      </c>
    </row>
    <row r="2186" spans="8:9">
      <c r="H2186" s="20" t="s">
        <v>2224</v>
      </c>
      <c r="I2186" s="22" t="s">
        <v>2849</v>
      </c>
    </row>
    <row r="2187" spans="8:9">
      <c r="H2187" s="20" t="s">
        <v>2225</v>
      </c>
      <c r="I2187" s="21" t="s">
        <v>2849</v>
      </c>
    </row>
    <row r="2188" spans="8:9">
      <c r="H2188" s="20" t="s">
        <v>2226</v>
      </c>
      <c r="I2188" s="22" t="s">
        <v>2849</v>
      </c>
    </row>
    <row r="2189" spans="8:9">
      <c r="H2189" s="20" t="s">
        <v>2227</v>
      </c>
      <c r="I2189" s="21" t="s">
        <v>2850</v>
      </c>
    </row>
    <row r="2190" spans="8:9">
      <c r="H2190" s="20" t="s">
        <v>2228</v>
      </c>
      <c r="I2190" s="21" t="s">
        <v>2850</v>
      </c>
    </row>
    <row r="2191" spans="8:9">
      <c r="H2191" s="20" t="s">
        <v>2229</v>
      </c>
      <c r="I2191" s="22" t="s">
        <v>2848</v>
      </c>
    </row>
    <row r="2192" spans="8:9">
      <c r="H2192" s="20" t="s">
        <v>2230</v>
      </c>
      <c r="I2192" s="21" t="s">
        <v>2850</v>
      </c>
    </row>
    <row r="2193" spans="8:9">
      <c r="H2193" s="20" t="s">
        <v>2231</v>
      </c>
      <c r="I2193" s="21" t="s">
        <v>2852</v>
      </c>
    </row>
    <row r="2194" spans="8:9">
      <c r="H2194" s="20" t="s">
        <v>2232</v>
      </c>
      <c r="I2194" s="22" t="s">
        <v>2848</v>
      </c>
    </row>
    <row r="2195" spans="8:9">
      <c r="H2195" s="20" t="s">
        <v>2233</v>
      </c>
      <c r="I2195" s="21" t="s">
        <v>2850</v>
      </c>
    </row>
    <row r="2196" spans="8:9">
      <c r="H2196" s="20" t="s">
        <v>2234</v>
      </c>
      <c r="I2196" s="22" t="s">
        <v>2849</v>
      </c>
    </row>
    <row r="2197" spans="8:9">
      <c r="H2197" s="20" t="s">
        <v>2235</v>
      </c>
      <c r="I2197" s="21" t="s">
        <v>2849</v>
      </c>
    </row>
    <row r="2198" spans="8:9">
      <c r="H2198" s="20" t="s">
        <v>2236</v>
      </c>
      <c r="I2198" s="21" t="s">
        <v>2849</v>
      </c>
    </row>
    <row r="2199" spans="8:9">
      <c r="H2199" s="20" t="s">
        <v>2237</v>
      </c>
      <c r="I2199" s="22" t="s">
        <v>2848</v>
      </c>
    </row>
    <row r="2200" spans="8:9">
      <c r="H2200" s="20" t="s">
        <v>2238</v>
      </c>
      <c r="I2200" s="21" t="s">
        <v>2850</v>
      </c>
    </row>
    <row r="2201" spans="8:9">
      <c r="H2201" s="20" t="s">
        <v>2239</v>
      </c>
      <c r="I2201" s="22" t="s">
        <v>2849</v>
      </c>
    </row>
    <row r="2202" spans="8:9">
      <c r="H2202" s="20" t="s">
        <v>2240</v>
      </c>
      <c r="I2202" s="22" t="s">
        <v>2850</v>
      </c>
    </row>
    <row r="2203" spans="8:9">
      <c r="H2203" s="20" t="s">
        <v>2241</v>
      </c>
      <c r="I2203" s="22" t="s">
        <v>2850</v>
      </c>
    </row>
    <row r="2204" spans="8:9">
      <c r="H2204" s="20" t="s">
        <v>2242</v>
      </c>
      <c r="I2204" s="22" t="s">
        <v>2850</v>
      </c>
    </row>
    <row r="2205" spans="8:9">
      <c r="H2205" s="20" t="s">
        <v>2243</v>
      </c>
      <c r="I2205" s="22" t="s">
        <v>2850</v>
      </c>
    </row>
    <row r="2206" spans="8:9">
      <c r="H2206" s="20" t="s">
        <v>2244</v>
      </c>
      <c r="I2206" s="22" t="s">
        <v>2850</v>
      </c>
    </row>
    <row r="2207" spans="8:9">
      <c r="H2207" s="20" t="s">
        <v>2245</v>
      </c>
      <c r="I2207" s="22" t="s">
        <v>2850</v>
      </c>
    </row>
    <row r="2208" spans="8:9">
      <c r="H2208" s="20" t="s">
        <v>2246</v>
      </c>
      <c r="I2208" s="21" t="s">
        <v>2850</v>
      </c>
    </row>
    <row r="2209" spans="8:9">
      <c r="H2209" s="20" t="s">
        <v>2247</v>
      </c>
      <c r="I2209" s="22" t="s">
        <v>2850</v>
      </c>
    </row>
    <row r="2210" spans="8:9">
      <c r="H2210" s="20" t="s">
        <v>2248</v>
      </c>
      <c r="I2210" s="22" t="s">
        <v>2849</v>
      </c>
    </row>
    <row r="2211" spans="8:9">
      <c r="H2211" s="20" t="s">
        <v>2249</v>
      </c>
      <c r="I2211" s="22" t="s">
        <v>2856</v>
      </c>
    </row>
    <row r="2212" spans="8:9">
      <c r="H2212" s="20" t="s">
        <v>2250</v>
      </c>
      <c r="I2212" s="22" t="s">
        <v>2849</v>
      </c>
    </row>
    <row r="2213" spans="8:9">
      <c r="H2213" s="20" t="s">
        <v>2251</v>
      </c>
      <c r="I2213" s="22" t="s">
        <v>2848</v>
      </c>
    </row>
    <row r="2214" spans="8:9">
      <c r="H2214" s="20" t="s">
        <v>2252</v>
      </c>
      <c r="I2214" s="21" t="s">
        <v>2850</v>
      </c>
    </row>
    <row r="2215" spans="8:9">
      <c r="H2215" s="20" t="s">
        <v>2253</v>
      </c>
      <c r="I2215" s="21" t="s">
        <v>2849</v>
      </c>
    </row>
    <row r="2216" spans="8:9">
      <c r="H2216" s="20" t="s">
        <v>2254</v>
      </c>
      <c r="I2216" s="21" t="s">
        <v>2852</v>
      </c>
    </row>
    <row r="2217" spans="8:9">
      <c r="H2217" s="20" t="s">
        <v>2255</v>
      </c>
      <c r="I2217" s="22" t="s">
        <v>2850</v>
      </c>
    </row>
    <row r="2218" spans="8:9">
      <c r="H2218" s="20" t="s">
        <v>2256</v>
      </c>
      <c r="I2218" s="21" t="s">
        <v>2852</v>
      </c>
    </row>
    <row r="2219" spans="8:9">
      <c r="H2219" s="20" t="s">
        <v>2257</v>
      </c>
      <c r="I2219" s="22" t="s">
        <v>2850</v>
      </c>
    </row>
    <row r="2220" spans="8:9">
      <c r="H2220" s="20" t="s">
        <v>2258</v>
      </c>
      <c r="I2220" s="22" t="s">
        <v>2852</v>
      </c>
    </row>
    <row r="2221" spans="8:9">
      <c r="H2221" s="20" t="s">
        <v>2259</v>
      </c>
      <c r="I2221" s="22" t="s">
        <v>2850</v>
      </c>
    </row>
    <row r="2222" spans="8:9">
      <c r="H2222" s="20" t="s">
        <v>2260</v>
      </c>
      <c r="I2222" s="21" t="s">
        <v>2852</v>
      </c>
    </row>
    <row r="2223" spans="8:9">
      <c r="H2223" s="20" t="s">
        <v>2261</v>
      </c>
      <c r="I2223" s="22" t="s">
        <v>2850</v>
      </c>
    </row>
    <row r="2224" spans="8:9">
      <c r="H2224" s="20" t="s">
        <v>2262</v>
      </c>
      <c r="I2224" s="21" t="s">
        <v>2850</v>
      </c>
    </row>
    <row r="2225" spans="8:9">
      <c r="H2225" s="20" t="s">
        <v>2263</v>
      </c>
      <c r="I2225" s="22" t="s">
        <v>2850</v>
      </c>
    </row>
    <row r="2226" spans="8:9">
      <c r="H2226" s="20" t="s">
        <v>2264</v>
      </c>
      <c r="I2226" s="21" t="s">
        <v>2850</v>
      </c>
    </row>
    <row r="2227" spans="8:9">
      <c r="H2227" s="20" t="s">
        <v>2265</v>
      </c>
      <c r="I2227" s="22" t="s">
        <v>2850</v>
      </c>
    </row>
    <row r="2228" spans="8:9">
      <c r="H2228" s="20" t="s">
        <v>2266</v>
      </c>
      <c r="I2228" s="22" t="s">
        <v>2852</v>
      </c>
    </row>
    <row r="2229" spans="8:9">
      <c r="H2229" s="20" t="s">
        <v>2267</v>
      </c>
      <c r="I2229" s="22" t="s">
        <v>2848</v>
      </c>
    </row>
    <row r="2230" spans="8:9">
      <c r="H2230" s="20" t="s">
        <v>2268</v>
      </c>
      <c r="I2230" s="22" t="s">
        <v>2852</v>
      </c>
    </row>
    <row r="2231" spans="8:9">
      <c r="H2231" s="20" t="s">
        <v>2269</v>
      </c>
      <c r="I2231" s="21" t="s">
        <v>2849</v>
      </c>
    </row>
    <row r="2232" spans="8:9">
      <c r="H2232" s="20" t="s">
        <v>2270</v>
      </c>
      <c r="I2232" s="21" t="s">
        <v>2852</v>
      </c>
    </row>
    <row r="2233" spans="8:9">
      <c r="H2233" s="20" t="s">
        <v>2271</v>
      </c>
      <c r="I2233" s="21" t="s">
        <v>2850</v>
      </c>
    </row>
    <row r="2234" spans="8:9">
      <c r="H2234" s="20" t="s">
        <v>2272</v>
      </c>
      <c r="I2234" s="22" t="s">
        <v>2848</v>
      </c>
    </row>
    <row r="2235" spans="8:9">
      <c r="H2235" s="20" t="s">
        <v>2273</v>
      </c>
      <c r="I2235" s="22" t="s">
        <v>2848</v>
      </c>
    </row>
    <row r="2236" spans="8:9">
      <c r="H2236" s="20" t="s">
        <v>2274</v>
      </c>
      <c r="I2236" s="22" t="s">
        <v>2848</v>
      </c>
    </row>
    <row r="2237" spans="8:9">
      <c r="H2237" s="20" t="s">
        <v>2275</v>
      </c>
      <c r="I2237" s="22" t="s">
        <v>2852</v>
      </c>
    </row>
    <row r="2238" spans="8:9">
      <c r="H2238" s="20" t="s">
        <v>2276</v>
      </c>
      <c r="I2238" s="22" t="s">
        <v>2852</v>
      </c>
    </row>
    <row r="2239" spans="8:9">
      <c r="H2239" s="20" t="s">
        <v>2277</v>
      </c>
      <c r="I2239" s="22" t="s">
        <v>2852</v>
      </c>
    </row>
    <row r="2240" spans="8:9">
      <c r="H2240" s="20" t="s">
        <v>2278</v>
      </c>
      <c r="I2240" s="22" t="s">
        <v>2852</v>
      </c>
    </row>
    <row r="2241" spans="8:9">
      <c r="H2241" s="20" t="s">
        <v>2279</v>
      </c>
      <c r="I2241" s="21" t="s">
        <v>2852</v>
      </c>
    </row>
    <row r="2242" spans="8:9">
      <c r="H2242" s="20" t="s">
        <v>2280</v>
      </c>
      <c r="I2242" s="21" t="s">
        <v>2852</v>
      </c>
    </row>
    <row r="2243" spans="8:9">
      <c r="H2243" s="20" t="s">
        <v>2281</v>
      </c>
      <c r="I2243" s="22" t="s">
        <v>2852</v>
      </c>
    </row>
    <row r="2244" spans="8:9">
      <c r="H2244" s="20" t="s">
        <v>2282</v>
      </c>
      <c r="I2244" s="21" t="s">
        <v>2852</v>
      </c>
    </row>
    <row r="2245" spans="8:9">
      <c r="H2245" s="20" t="s">
        <v>2283</v>
      </c>
      <c r="I2245" s="21" t="s">
        <v>2852</v>
      </c>
    </row>
    <row r="2246" spans="8:9">
      <c r="H2246" s="20" t="s">
        <v>2284</v>
      </c>
      <c r="I2246" s="22" t="s">
        <v>2852</v>
      </c>
    </row>
    <row r="2247" spans="8:9">
      <c r="H2247" s="20" t="s">
        <v>2285</v>
      </c>
      <c r="I2247" s="22" t="s">
        <v>2852</v>
      </c>
    </row>
    <row r="2248" spans="8:9">
      <c r="H2248" s="20" t="s">
        <v>2286</v>
      </c>
      <c r="I2248" s="21" t="s">
        <v>2852</v>
      </c>
    </row>
    <row r="2249" spans="8:9">
      <c r="H2249" s="20" t="s">
        <v>2287</v>
      </c>
      <c r="I2249" s="21" t="s">
        <v>2852</v>
      </c>
    </row>
    <row r="2250" spans="8:9">
      <c r="H2250" s="20" t="s">
        <v>2288</v>
      </c>
      <c r="I2250" s="22" t="s">
        <v>2852</v>
      </c>
    </row>
    <row r="2251" spans="8:9">
      <c r="H2251" s="20" t="s">
        <v>2289</v>
      </c>
      <c r="I2251" s="22" t="s">
        <v>2852</v>
      </c>
    </row>
    <row r="2252" spans="8:9">
      <c r="H2252" s="20" t="s">
        <v>2290</v>
      </c>
      <c r="I2252" s="21" t="s">
        <v>2852</v>
      </c>
    </row>
    <row r="2253" spans="8:9">
      <c r="H2253" s="262" t="s">
        <v>2291</v>
      </c>
      <c r="I2253" s="22" t="s">
        <v>2849</v>
      </c>
    </row>
    <row r="2254" spans="8:9">
      <c r="H2254" s="20" t="s">
        <v>2292</v>
      </c>
      <c r="I2254" s="22" t="s">
        <v>2849</v>
      </c>
    </row>
    <row r="2255" spans="8:9">
      <c r="H2255" s="20" t="s">
        <v>2293</v>
      </c>
      <c r="I2255" s="22" t="s">
        <v>2848</v>
      </c>
    </row>
    <row r="2256" spans="8:9">
      <c r="H2256" s="20" t="s">
        <v>2294</v>
      </c>
      <c r="I2256" s="22" t="s">
        <v>2848</v>
      </c>
    </row>
    <row r="2257" spans="8:9">
      <c r="H2257" s="20" t="s">
        <v>2295</v>
      </c>
      <c r="I2257" s="22" t="s">
        <v>2848</v>
      </c>
    </row>
    <row r="2258" spans="8:9">
      <c r="H2258" s="20" t="s">
        <v>2296</v>
      </c>
      <c r="I2258" s="22" t="s">
        <v>2848</v>
      </c>
    </row>
    <row r="2259" spans="8:9">
      <c r="H2259" s="20" t="s">
        <v>2297</v>
      </c>
      <c r="I2259" s="22" t="s">
        <v>2848</v>
      </c>
    </row>
    <row r="2260" spans="8:9">
      <c r="H2260" s="20" t="s">
        <v>2298</v>
      </c>
      <c r="I2260" s="22" t="s">
        <v>2848</v>
      </c>
    </row>
    <row r="2261" spans="8:9">
      <c r="H2261" s="20" t="s">
        <v>2299</v>
      </c>
      <c r="I2261" s="21" t="s">
        <v>2848</v>
      </c>
    </row>
    <row r="2262" spans="8:9">
      <c r="H2262" s="20" t="s">
        <v>2300</v>
      </c>
      <c r="I2262" s="21" t="s">
        <v>2849</v>
      </c>
    </row>
    <row r="2263" spans="8:9">
      <c r="H2263" s="20" t="s">
        <v>2301</v>
      </c>
      <c r="I2263" s="22" t="s">
        <v>2852</v>
      </c>
    </row>
    <row r="2264" spans="8:9">
      <c r="H2264" s="20" t="s">
        <v>2302</v>
      </c>
      <c r="I2264" s="21" t="s">
        <v>2852</v>
      </c>
    </row>
    <row r="2265" spans="8:9">
      <c r="H2265" s="20" t="s">
        <v>2303</v>
      </c>
      <c r="I2265" s="22" t="s">
        <v>2852</v>
      </c>
    </row>
    <row r="2266" spans="8:9">
      <c r="H2266" s="20" t="s">
        <v>2304</v>
      </c>
      <c r="I2266" s="22" t="s">
        <v>2848</v>
      </c>
    </row>
    <row r="2267" spans="8:9">
      <c r="H2267" s="20" t="s">
        <v>2305</v>
      </c>
      <c r="I2267" s="22" t="s">
        <v>2849</v>
      </c>
    </row>
    <row r="2268" spans="8:9">
      <c r="H2268" s="20" t="s">
        <v>2306</v>
      </c>
      <c r="I2268" s="22" t="s">
        <v>2848</v>
      </c>
    </row>
    <row r="2269" spans="8:9">
      <c r="H2269" s="20" t="s">
        <v>2307</v>
      </c>
      <c r="I2269" s="21" t="s">
        <v>2849</v>
      </c>
    </row>
    <row r="2270" spans="8:9">
      <c r="H2270" s="20" t="s">
        <v>2308</v>
      </c>
      <c r="I2270" s="22" t="s">
        <v>2852</v>
      </c>
    </row>
    <row r="2271" spans="8:9">
      <c r="H2271" s="20" t="s">
        <v>2309</v>
      </c>
      <c r="I2271" s="21" t="s">
        <v>2850</v>
      </c>
    </row>
    <row r="2272" spans="8:9">
      <c r="H2272" s="20" t="s">
        <v>2310</v>
      </c>
      <c r="I2272" s="21" t="s">
        <v>2852</v>
      </c>
    </row>
    <row r="2273" spans="8:9">
      <c r="H2273" s="20" t="s">
        <v>2311</v>
      </c>
      <c r="I2273" s="22" t="s">
        <v>2848</v>
      </c>
    </row>
    <row r="2274" spans="8:9">
      <c r="H2274" s="20" t="s">
        <v>2312</v>
      </c>
      <c r="I2274" s="21" t="s">
        <v>2852</v>
      </c>
    </row>
    <row r="2275" spans="8:9">
      <c r="H2275" s="20" t="s">
        <v>2313</v>
      </c>
      <c r="I2275" s="22" t="s">
        <v>2848</v>
      </c>
    </row>
    <row r="2276" spans="8:9">
      <c r="H2276" s="20" t="s">
        <v>2314</v>
      </c>
      <c r="I2276" s="22" t="s">
        <v>2848</v>
      </c>
    </row>
    <row r="2277" spans="8:9">
      <c r="H2277" s="20" t="s">
        <v>2315</v>
      </c>
      <c r="I2277" s="22" t="s">
        <v>2849</v>
      </c>
    </row>
    <row r="2278" spans="8:9">
      <c r="H2278" s="20" t="s">
        <v>2316</v>
      </c>
      <c r="I2278" s="22" t="s">
        <v>2849</v>
      </c>
    </row>
    <row r="2279" spans="8:9">
      <c r="H2279" s="20" t="s">
        <v>2317</v>
      </c>
      <c r="I2279" s="21" t="s">
        <v>2849</v>
      </c>
    </row>
    <row r="2280" spans="8:9">
      <c r="H2280" s="20" t="s">
        <v>2318</v>
      </c>
      <c r="I2280" s="21" t="s">
        <v>2849</v>
      </c>
    </row>
    <row r="2281" spans="8:9">
      <c r="H2281" s="20" t="s">
        <v>2319</v>
      </c>
      <c r="I2281" s="22" t="s">
        <v>2848</v>
      </c>
    </row>
    <row r="2282" spans="8:9">
      <c r="H2282" s="20" t="s">
        <v>2320</v>
      </c>
      <c r="I2282" s="22" t="s">
        <v>2850</v>
      </c>
    </row>
    <row r="2283" spans="8:9">
      <c r="H2283" s="20" t="s">
        <v>2321</v>
      </c>
      <c r="I2283" s="21" t="s">
        <v>2850</v>
      </c>
    </row>
    <row r="2284" spans="8:9">
      <c r="H2284" s="20" t="s">
        <v>2322</v>
      </c>
      <c r="I2284" s="21" t="s">
        <v>2850</v>
      </c>
    </row>
    <row r="2285" spans="8:9">
      <c r="H2285" s="20" t="s">
        <v>2323</v>
      </c>
      <c r="I2285" s="22" t="s">
        <v>2852</v>
      </c>
    </row>
    <row r="2286" spans="8:9">
      <c r="H2286" s="20" t="s">
        <v>2324</v>
      </c>
      <c r="I2286" s="22" t="s">
        <v>2852</v>
      </c>
    </row>
    <row r="2287" spans="8:9">
      <c r="H2287" s="20" t="s">
        <v>2325</v>
      </c>
      <c r="I2287" s="22" t="s">
        <v>2852</v>
      </c>
    </row>
    <row r="2288" spans="8:9">
      <c r="H2288" s="20" t="s">
        <v>2326</v>
      </c>
      <c r="I2288" s="22" t="s">
        <v>2852</v>
      </c>
    </row>
    <row r="2289" spans="8:9">
      <c r="H2289" s="20" t="s">
        <v>2327</v>
      </c>
      <c r="I2289" s="22" t="s">
        <v>2852</v>
      </c>
    </row>
    <row r="2290" spans="8:9">
      <c r="H2290" s="20" t="s">
        <v>2328</v>
      </c>
      <c r="I2290" s="22" t="s">
        <v>2852</v>
      </c>
    </row>
    <row r="2291" spans="8:9">
      <c r="H2291" s="20" t="s">
        <v>2329</v>
      </c>
      <c r="I2291" s="21" t="s">
        <v>2850</v>
      </c>
    </row>
    <row r="2292" spans="8:9">
      <c r="H2292" s="20" t="s">
        <v>2330</v>
      </c>
      <c r="I2292" s="22" t="s">
        <v>2848</v>
      </c>
    </row>
    <row r="2293" spans="8:9">
      <c r="H2293" s="20" t="s">
        <v>2331</v>
      </c>
      <c r="I2293" s="22" t="s">
        <v>2848</v>
      </c>
    </row>
    <row r="2294" spans="8:9">
      <c r="H2294" s="20" t="s">
        <v>2332</v>
      </c>
      <c r="I2294" s="21" t="s">
        <v>2852</v>
      </c>
    </row>
    <row r="2295" spans="8:9">
      <c r="H2295" s="20" t="s">
        <v>2333</v>
      </c>
      <c r="I2295" s="22" t="s">
        <v>2852</v>
      </c>
    </row>
    <row r="2296" spans="8:9">
      <c r="H2296" s="20" t="s">
        <v>2334</v>
      </c>
      <c r="I2296" s="22" t="s">
        <v>2852</v>
      </c>
    </row>
    <row r="2297" spans="8:9">
      <c r="H2297" s="20" t="s">
        <v>2335</v>
      </c>
      <c r="I2297" s="21" t="s">
        <v>2852</v>
      </c>
    </row>
    <row r="2298" spans="8:9">
      <c r="H2298" s="20" t="s">
        <v>2336</v>
      </c>
      <c r="I2298" s="22" t="s">
        <v>2850</v>
      </c>
    </row>
    <row r="2299" spans="8:9">
      <c r="H2299" s="20" t="s">
        <v>2337</v>
      </c>
      <c r="I2299" s="22" t="s">
        <v>2850</v>
      </c>
    </row>
    <row r="2300" spans="8:9">
      <c r="H2300" s="20" t="s">
        <v>2338</v>
      </c>
      <c r="I2300" s="22" t="s">
        <v>2850</v>
      </c>
    </row>
    <row r="2301" spans="8:9">
      <c r="H2301" s="20" t="s">
        <v>2339</v>
      </c>
      <c r="I2301" s="22" t="s">
        <v>2850</v>
      </c>
    </row>
    <row r="2302" spans="8:9">
      <c r="H2302" s="20" t="s">
        <v>2340</v>
      </c>
      <c r="I2302" s="22" t="s">
        <v>2850</v>
      </c>
    </row>
    <row r="2303" spans="8:9">
      <c r="H2303" s="20" t="s">
        <v>2341</v>
      </c>
      <c r="I2303" s="22" t="s">
        <v>2850</v>
      </c>
    </row>
    <row r="2304" spans="8:9">
      <c r="H2304" s="20" t="s">
        <v>2342</v>
      </c>
      <c r="I2304" s="22" t="s">
        <v>2850</v>
      </c>
    </row>
    <row r="2305" spans="8:9">
      <c r="H2305" s="20" t="s">
        <v>2343</v>
      </c>
      <c r="I2305" s="21" t="s">
        <v>2850</v>
      </c>
    </row>
    <row r="2306" spans="8:9">
      <c r="H2306" s="20" t="s">
        <v>2344</v>
      </c>
      <c r="I2306" s="21" t="s">
        <v>2850</v>
      </c>
    </row>
    <row r="2307" spans="8:9">
      <c r="H2307" s="20" t="s">
        <v>2345</v>
      </c>
      <c r="I2307" s="22" t="s">
        <v>2850</v>
      </c>
    </row>
    <row r="2308" spans="8:9">
      <c r="H2308" s="20" t="s">
        <v>2346</v>
      </c>
      <c r="I2308" s="22" t="s">
        <v>2850</v>
      </c>
    </row>
    <row r="2309" spans="8:9">
      <c r="H2309" s="20" t="s">
        <v>2347</v>
      </c>
      <c r="I2309" s="21" t="s">
        <v>2850</v>
      </c>
    </row>
    <row r="2310" spans="8:9">
      <c r="H2310" s="20" t="s">
        <v>2348</v>
      </c>
      <c r="I2310" s="21" t="s">
        <v>2849</v>
      </c>
    </row>
    <row r="2311" spans="8:9">
      <c r="H2311" s="20" t="s">
        <v>2349</v>
      </c>
      <c r="I2311" s="22" t="s">
        <v>2848</v>
      </c>
    </row>
    <row r="2312" spans="8:9">
      <c r="H2312" s="20" t="s">
        <v>2350</v>
      </c>
      <c r="I2312" s="21" t="s">
        <v>2849</v>
      </c>
    </row>
    <row r="2313" spans="8:9">
      <c r="H2313" s="20" t="s">
        <v>2351</v>
      </c>
      <c r="I2313" s="21" t="s">
        <v>2849</v>
      </c>
    </row>
    <row r="2314" spans="8:9">
      <c r="H2314" s="20" t="s">
        <v>2352</v>
      </c>
      <c r="I2314" s="21" t="s">
        <v>2852</v>
      </c>
    </row>
    <row r="2315" spans="8:9">
      <c r="H2315" s="20" t="s">
        <v>2353</v>
      </c>
      <c r="I2315" s="22" t="s">
        <v>2848</v>
      </c>
    </row>
    <row r="2316" spans="8:9">
      <c r="H2316" s="20" t="s">
        <v>2354</v>
      </c>
      <c r="I2316" s="21" t="s">
        <v>2852</v>
      </c>
    </row>
    <row r="2317" spans="8:9">
      <c r="H2317" s="20" t="s">
        <v>2355</v>
      </c>
      <c r="I2317" s="21" t="s">
        <v>2849</v>
      </c>
    </row>
    <row r="2318" spans="8:9">
      <c r="H2318" s="20" t="s">
        <v>2356</v>
      </c>
      <c r="I2318" s="22" t="s">
        <v>2849</v>
      </c>
    </row>
    <row r="2319" spans="8:9">
      <c r="H2319" s="20" t="s">
        <v>2357</v>
      </c>
      <c r="I2319" s="21" t="s">
        <v>2850</v>
      </c>
    </row>
    <row r="2320" spans="8:9">
      <c r="H2320" s="20" t="s">
        <v>2358</v>
      </c>
      <c r="I2320" s="22" t="s">
        <v>2848</v>
      </c>
    </row>
    <row r="2321" spans="8:9">
      <c r="H2321" s="20" t="s">
        <v>2359</v>
      </c>
      <c r="I2321" s="22" t="s">
        <v>2849</v>
      </c>
    </row>
    <row r="2322" spans="8:9">
      <c r="H2322" s="20" t="s">
        <v>2360</v>
      </c>
      <c r="I2322" s="22" t="s">
        <v>2849</v>
      </c>
    </row>
    <row r="2323" spans="8:9">
      <c r="H2323" s="20" t="s">
        <v>2361</v>
      </c>
      <c r="I2323" s="21" t="s">
        <v>2852</v>
      </c>
    </row>
    <row r="2324" spans="8:9">
      <c r="H2324" s="20" t="s">
        <v>2362</v>
      </c>
      <c r="I2324" s="21" t="s">
        <v>2852</v>
      </c>
    </row>
    <row r="2325" spans="8:9">
      <c r="H2325" s="20" t="s">
        <v>2363</v>
      </c>
      <c r="I2325" s="22" t="s">
        <v>2849</v>
      </c>
    </row>
    <row r="2326" spans="8:9">
      <c r="H2326" s="20" t="s">
        <v>2364</v>
      </c>
      <c r="I2326" s="22" t="s">
        <v>2849</v>
      </c>
    </row>
    <row r="2327" spans="8:9">
      <c r="H2327" s="20" t="s">
        <v>2365</v>
      </c>
      <c r="I2327" s="22" t="s">
        <v>2848</v>
      </c>
    </row>
    <row r="2328" spans="8:9">
      <c r="H2328" s="20" t="s">
        <v>2366</v>
      </c>
      <c r="I2328" s="21" t="s">
        <v>2848</v>
      </c>
    </row>
    <row r="2329" spans="8:9">
      <c r="H2329" s="20" t="s">
        <v>2367</v>
      </c>
      <c r="I2329" s="22" t="s">
        <v>2848</v>
      </c>
    </row>
    <row r="2330" spans="8:9">
      <c r="H2330" s="20" t="s">
        <v>2368</v>
      </c>
      <c r="I2330" s="22" t="s">
        <v>2848</v>
      </c>
    </row>
    <row r="2331" spans="8:9">
      <c r="H2331" s="20" t="s">
        <v>2369</v>
      </c>
      <c r="I2331" s="22" t="s">
        <v>2849</v>
      </c>
    </row>
    <row r="2332" spans="8:9">
      <c r="H2332" s="20" t="s">
        <v>2370</v>
      </c>
      <c r="I2332" s="22" t="s">
        <v>2849</v>
      </c>
    </row>
    <row r="2333" spans="8:9">
      <c r="H2333" s="20" t="s">
        <v>2371</v>
      </c>
      <c r="I2333" s="21" t="s">
        <v>2848</v>
      </c>
    </row>
    <row r="2334" spans="8:9">
      <c r="H2334" s="20" t="s">
        <v>2372</v>
      </c>
      <c r="I2334" s="22" t="s">
        <v>2848</v>
      </c>
    </row>
    <row r="2335" spans="8:9">
      <c r="H2335" s="20" t="s">
        <v>2373</v>
      </c>
      <c r="I2335" s="22" t="s">
        <v>2849</v>
      </c>
    </row>
    <row r="2336" spans="8:9">
      <c r="H2336" s="20" t="s">
        <v>2374</v>
      </c>
      <c r="I2336" s="22" t="s">
        <v>2849</v>
      </c>
    </row>
    <row r="2337" spans="8:9">
      <c r="H2337" s="20" t="s">
        <v>2375</v>
      </c>
      <c r="I2337" s="22" t="s">
        <v>2849</v>
      </c>
    </row>
    <row r="2338" spans="8:9">
      <c r="H2338" s="20" t="s">
        <v>2376</v>
      </c>
      <c r="I2338" s="21" t="s">
        <v>2849</v>
      </c>
    </row>
    <row r="2339" spans="8:9">
      <c r="H2339" s="20" t="s">
        <v>2377</v>
      </c>
      <c r="I2339" s="22" t="s">
        <v>2849</v>
      </c>
    </row>
    <row r="2340" spans="8:9">
      <c r="H2340" s="20" t="s">
        <v>2378</v>
      </c>
      <c r="I2340" s="22" t="s">
        <v>2849</v>
      </c>
    </row>
    <row r="2341" spans="8:9">
      <c r="H2341" s="20" t="s">
        <v>2379</v>
      </c>
      <c r="I2341" s="22" t="s">
        <v>2850</v>
      </c>
    </row>
    <row r="2342" spans="8:9">
      <c r="H2342" s="20" t="s">
        <v>2380</v>
      </c>
      <c r="I2342" s="22" t="s">
        <v>2850</v>
      </c>
    </row>
    <row r="2343" spans="8:9">
      <c r="H2343" s="20" t="s">
        <v>2381</v>
      </c>
      <c r="I2343" s="21" t="s">
        <v>2850</v>
      </c>
    </row>
    <row r="2344" spans="8:9">
      <c r="H2344" s="20" t="s">
        <v>2382</v>
      </c>
      <c r="I2344" s="22" t="s">
        <v>2848</v>
      </c>
    </row>
    <row r="2345" spans="8:9">
      <c r="H2345" s="20" t="s">
        <v>2383</v>
      </c>
      <c r="I2345" s="21" t="s">
        <v>2849</v>
      </c>
    </row>
    <row r="2346" spans="8:9">
      <c r="H2346" s="20" t="s">
        <v>2384</v>
      </c>
      <c r="I2346" s="22" t="s">
        <v>2848</v>
      </c>
    </row>
    <row r="2347" spans="8:9">
      <c r="H2347" s="20" t="s">
        <v>2385</v>
      </c>
      <c r="I2347" s="21" t="s">
        <v>2852</v>
      </c>
    </row>
    <row r="2348" spans="8:9">
      <c r="H2348" s="20" t="s">
        <v>2386</v>
      </c>
      <c r="I2348" s="22" t="s">
        <v>2849</v>
      </c>
    </row>
    <row r="2349" spans="8:9">
      <c r="H2349" s="20" t="s">
        <v>2387</v>
      </c>
      <c r="I2349" s="22" t="s">
        <v>2849</v>
      </c>
    </row>
    <row r="2350" spans="8:9">
      <c r="H2350" s="20" t="s">
        <v>2388</v>
      </c>
      <c r="I2350" s="22" t="s">
        <v>2849</v>
      </c>
    </row>
    <row r="2351" spans="8:9">
      <c r="H2351" s="20" t="s">
        <v>2389</v>
      </c>
      <c r="I2351" s="21" t="s">
        <v>2849</v>
      </c>
    </row>
    <row r="2352" spans="8:9">
      <c r="H2352" s="20" t="s">
        <v>2390</v>
      </c>
      <c r="I2352" s="22" t="s">
        <v>2848</v>
      </c>
    </row>
    <row r="2353" spans="8:9">
      <c r="H2353" s="20" t="s">
        <v>2391</v>
      </c>
      <c r="I2353" s="22" t="s">
        <v>2849</v>
      </c>
    </row>
    <row r="2354" spans="8:9">
      <c r="H2354" s="20" t="s">
        <v>2392</v>
      </c>
      <c r="I2354" s="22" t="s">
        <v>2848</v>
      </c>
    </row>
    <row r="2355" spans="8:9">
      <c r="H2355" s="20" t="s">
        <v>2393</v>
      </c>
      <c r="I2355" s="22" t="s">
        <v>2849</v>
      </c>
    </row>
    <row r="2356" spans="8:9">
      <c r="H2356" s="20" t="s">
        <v>2394</v>
      </c>
      <c r="I2356" s="22" t="s">
        <v>2848</v>
      </c>
    </row>
    <row r="2357" spans="8:9">
      <c r="H2357" s="20" t="s">
        <v>2395</v>
      </c>
      <c r="I2357" s="22" t="s">
        <v>2849</v>
      </c>
    </row>
    <row r="2358" spans="8:9">
      <c r="H2358" s="20" t="s">
        <v>2396</v>
      </c>
      <c r="I2358" s="22" t="s">
        <v>2848</v>
      </c>
    </row>
    <row r="2359" spans="8:9">
      <c r="H2359" s="20" t="s">
        <v>2397</v>
      </c>
      <c r="I2359" s="22" t="s">
        <v>2848</v>
      </c>
    </row>
    <row r="2360" spans="8:9">
      <c r="H2360" s="20" t="s">
        <v>2398</v>
      </c>
      <c r="I2360" s="22" t="s">
        <v>2849</v>
      </c>
    </row>
    <row r="2361" spans="8:9">
      <c r="H2361" s="20" t="s">
        <v>2399</v>
      </c>
      <c r="I2361" s="22" t="s">
        <v>2848</v>
      </c>
    </row>
    <row r="2362" spans="8:9">
      <c r="H2362" s="20" t="s">
        <v>2400</v>
      </c>
      <c r="I2362" s="22" t="s">
        <v>2848</v>
      </c>
    </row>
    <row r="2363" spans="8:9">
      <c r="H2363" s="20" t="s">
        <v>2401</v>
      </c>
      <c r="I2363" s="22" t="s">
        <v>2849</v>
      </c>
    </row>
    <row r="2364" spans="8:9">
      <c r="H2364" s="20" t="s">
        <v>2402</v>
      </c>
      <c r="I2364" s="22" t="s">
        <v>2849</v>
      </c>
    </row>
    <row r="2365" spans="8:9">
      <c r="H2365" s="20" t="s">
        <v>2403</v>
      </c>
      <c r="I2365" s="22" t="s">
        <v>2849</v>
      </c>
    </row>
    <row r="2366" spans="8:9">
      <c r="H2366" s="20" t="s">
        <v>2404</v>
      </c>
      <c r="I2366" s="22" t="s">
        <v>2848</v>
      </c>
    </row>
    <row r="2367" spans="8:9">
      <c r="H2367" s="20" t="s">
        <v>2405</v>
      </c>
      <c r="I2367" s="22" t="s">
        <v>2849</v>
      </c>
    </row>
    <row r="2368" spans="8:9">
      <c r="H2368" s="20" t="s">
        <v>2406</v>
      </c>
      <c r="I2368" s="22" t="s">
        <v>2848</v>
      </c>
    </row>
    <row r="2369" spans="8:9">
      <c r="H2369" s="20" t="s">
        <v>2407</v>
      </c>
      <c r="I2369" s="22" t="s">
        <v>2849</v>
      </c>
    </row>
    <row r="2370" spans="8:9">
      <c r="H2370" s="20" t="s">
        <v>2408</v>
      </c>
      <c r="I2370" s="22" t="s">
        <v>2848</v>
      </c>
    </row>
    <row r="2371" spans="8:9">
      <c r="H2371" s="20" t="s">
        <v>2409</v>
      </c>
      <c r="I2371" s="22" t="s">
        <v>2848</v>
      </c>
    </row>
    <row r="2372" spans="8:9">
      <c r="H2372" s="20" t="s">
        <v>2410</v>
      </c>
      <c r="I2372" s="22" t="s">
        <v>2848</v>
      </c>
    </row>
    <row r="2373" spans="8:9">
      <c r="H2373" s="20" t="s">
        <v>2411</v>
      </c>
      <c r="I2373" s="22" t="s">
        <v>2849</v>
      </c>
    </row>
    <row r="2374" spans="8:9">
      <c r="H2374" s="20" t="s">
        <v>2412</v>
      </c>
      <c r="I2374" s="22" t="s">
        <v>2850</v>
      </c>
    </row>
    <row r="2375" spans="8:9">
      <c r="H2375" s="20" t="s">
        <v>2413</v>
      </c>
      <c r="I2375" s="21" t="s">
        <v>2850</v>
      </c>
    </row>
    <row r="2376" spans="8:9">
      <c r="H2376" s="20" t="s">
        <v>2414</v>
      </c>
      <c r="I2376" s="21" t="s">
        <v>2850</v>
      </c>
    </row>
    <row r="2377" spans="8:9">
      <c r="H2377" s="20" t="s">
        <v>2415</v>
      </c>
      <c r="I2377" s="21" t="s">
        <v>2850</v>
      </c>
    </row>
    <row r="2378" spans="8:9">
      <c r="H2378" s="20" t="s">
        <v>2416</v>
      </c>
      <c r="I2378" s="22" t="s">
        <v>2848</v>
      </c>
    </row>
    <row r="2379" spans="8:9">
      <c r="H2379" s="20" t="s">
        <v>2417</v>
      </c>
      <c r="I2379" s="22" t="s">
        <v>2849</v>
      </c>
    </row>
    <row r="2380" spans="8:9">
      <c r="H2380" s="20" t="s">
        <v>2418</v>
      </c>
      <c r="I2380" s="22" t="s">
        <v>2848</v>
      </c>
    </row>
    <row r="2381" spans="8:9">
      <c r="H2381" s="20" t="s">
        <v>2419</v>
      </c>
      <c r="I2381" s="21" t="s">
        <v>2852</v>
      </c>
    </row>
    <row r="2382" spans="8:9">
      <c r="H2382" s="20" t="s">
        <v>2420</v>
      </c>
      <c r="I2382" s="22" t="s">
        <v>2848</v>
      </c>
    </row>
    <row r="2383" spans="8:9">
      <c r="H2383" s="20" t="s">
        <v>2421</v>
      </c>
      <c r="I2383" s="21" t="s">
        <v>2849</v>
      </c>
    </row>
    <row r="2384" spans="8:9">
      <c r="H2384" s="20" t="s">
        <v>2422</v>
      </c>
      <c r="I2384" s="21" t="s">
        <v>2849</v>
      </c>
    </row>
    <row r="2385" spans="8:9">
      <c r="H2385" s="20" t="s">
        <v>2423</v>
      </c>
      <c r="I2385" s="21" t="s">
        <v>2849</v>
      </c>
    </row>
    <row r="2386" spans="8:9">
      <c r="H2386" s="20" t="s">
        <v>2424</v>
      </c>
      <c r="I2386" s="21" t="s">
        <v>2849</v>
      </c>
    </row>
    <row r="2387" spans="8:9">
      <c r="H2387" s="12" t="s">
        <v>2425</v>
      </c>
      <c r="I2387" s="21" t="s">
        <v>2849</v>
      </c>
    </row>
    <row r="2388" spans="8:9">
      <c r="H2388" s="20" t="s">
        <v>2426</v>
      </c>
      <c r="I2388" s="21" t="s">
        <v>2849</v>
      </c>
    </row>
    <row r="2389" spans="8:9">
      <c r="H2389" s="12" t="s">
        <v>2427</v>
      </c>
      <c r="I2389" s="21" t="s">
        <v>2849</v>
      </c>
    </row>
    <row r="2390" spans="8:9">
      <c r="H2390" s="20" t="s">
        <v>2428</v>
      </c>
      <c r="I2390" s="21" t="s">
        <v>2849</v>
      </c>
    </row>
    <row r="2391" spans="8:9">
      <c r="H2391" s="20" t="s">
        <v>2429</v>
      </c>
      <c r="I2391" s="21" t="s">
        <v>2849</v>
      </c>
    </row>
    <row r="2392" spans="8:9">
      <c r="H2392" s="20" t="s">
        <v>2430</v>
      </c>
      <c r="I2392" s="21" t="s">
        <v>2849</v>
      </c>
    </row>
    <row r="2393" spans="8:9">
      <c r="H2393" s="20" t="s">
        <v>2431</v>
      </c>
      <c r="I2393" s="22" t="s">
        <v>2848</v>
      </c>
    </row>
    <row r="2394" spans="8:9">
      <c r="H2394" s="20" t="s">
        <v>2432</v>
      </c>
      <c r="I2394" s="22" t="s">
        <v>2849</v>
      </c>
    </row>
    <row r="2395" spans="8:9">
      <c r="H2395" s="20" t="s">
        <v>2433</v>
      </c>
      <c r="I2395" s="22" t="s">
        <v>2848</v>
      </c>
    </row>
    <row r="2396" spans="8:9">
      <c r="H2396" s="20" t="s">
        <v>2434</v>
      </c>
      <c r="I2396" s="22" t="s">
        <v>2848</v>
      </c>
    </row>
    <row r="2397" spans="8:9">
      <c r="H2397" s="20" t="s">
        <v>2435</v>
      </c>
      <c r="I2397" s="22" t="s">
        <v>2849</v>
      </c>
    </row>
    <row r="2398" spans="8:9">
      <c r="H2398" s="20" t="s">
        <v>2436</v>
      </c>
      <c r="I2398" s="22" t="s">
        <v>2849</v>
      </c>
    </row>
    <row r="2399" spans="8:9">
      <c r="H2399" s="20" t="s">
        <v>2437</v>
      </c>
      <c r="I2399" s="21" t="s">
        <v>2850</v>
      </c>
    </row>
    <row r="2400" spans="8:9">
      <c r="H2400" s="20" t="s">
        <v>2438</v>
      </c>
      <c r="I2400" s="21" t="s">
        <v>2850</v>
      </c>
    </row>
    <row r="2401" spans="8:9">
      <c r="H2401" s="20" t="s">
        <v>2439</v>
      </c>
      <c r="I2401" s="22" t="s">
        <v>2849</v>
      </c>
    </row>
    <row r="2402" spans="8:9">
      <c r="H2402" s="20" t="s">
        <v>2440</v>
      </c>
      <c r="I2402" s="22" t="s">
        <v>2849</v>
      </c>
    </row>
    <row r="2403" spans="8:9">
      <c r="H2403" s="20" t="s">
        <v>2441</v>
      </c>
      <c r="I2403" s="22" t="s">
        <v>2849</v>
      </c>
    </row>
    <row r="2404" spans="8:9">
      <c r="H2404" s="20" t="s">
        <v>2442</v>
      </c>
      <c r="I2404" s="22" t="s">
        <v>2849</v>
      </c>
    </row>
    <row r="2405" spans="8:9">
      <c r="H2405" s="20" t="s">
        <v>2443</v>
      </c>
      <c r="I2405" s="22" t="s">
        <v>2849</v>
      </c>
    </row>
    <row r="2406" spans="8:9">
      <c r="H2406" s="20" t="s">
        <v>2444</v>
      </c>
      <c r="I2406" s="22" t="s">
        <v>2849</v>
      </c>
    </row>
    <row r="2407" spans="8:9">
      <c r="H2407" s="20" t="s">
        <v>2445</v>
      </c>
      <c r="I2407" s="22" t="s">
        <v>2849</v>
      </c>
    </row>
    <row r="2408" spans="8:9">
      <c r="H2408" s="20" t="s">
        <v>2446</v>
      </c>
      <c r="I2408" s="22" t="s">
        <v>2849</v>
      </c>
    </row>
    <row r="2409" spans="8:9">
      <c r="H2409" s="20" t="s">
        <v>2447</v>
      </c>
      <c r="I2409" s="22" t="s">
        <v>2848</v>
      </c>
    </row>
    <row r="2410" spans="8:9">
      <c r="H2410" s="20" t="s">
        <v>2448</v>
      </c>
      <c r="I2410" s="22" t="s">
        <v>2848</v>
      </c>
    </row>
    <row r="2411" spans="8:9">
      <c r="H2411" s="20" t="s">
        <v>2449</v>
      </c>
      <c r="I2411" s="22" t="s">
        <v>2848</v>
      </c>
    </row>
    <row r="2412" spans="8:9">
      <c r="H2412" s="20" t="s">
        <v>2450</v>
      </c>
      <c r="I2412" s="22" t="s">
        <v>2848</v>
      </c>
    </row>
    <row r="2413" spans="8:9">
      <c r="H2413" s="20" t="s">
        <v>2451</v>
      </c>
      <c r="I2413" s="21" t="s">
        <v>2852</v>
      </c>
    </row>
    <row r="2414" spans="8:9">
      <c r="H2414" s="20" t="s">
        <v>2452</v>
      </c>
      <c r="I2414" s="21" t="s">
        <v>2850</v>
      </c>
    </row>
    <row r="2415" spans="8:9">
      <c r="H2415" s="20" t="s">
        <v>2453</v>
      </c>
      <c r="I2415" s="22" t="s">
        <v>2852</v>
      </c>
    </row>
    <row r="2416" spans="8:9">
      <c r="H2416" s="20" t="s">
        <v>2454</v>
      </c>
      <c r="I2416" s="21" t="s">
        <v>2850</v>
      </c>
    </row>
    <row r="2417" spans="8:9">
      <c r="H2417" s="20" t="s">
        <v>2455</v>
      </c>
      <c r="I2417" s="21" t="s">
        <v>2848</v>
      </c>
    </row>
    <row r="2418" spans="8:9">
      <c r="H2418" s="20" t="s">
        <v>2456</v>
      </c>
      <c r="I2418" s="21" t="s">
        <v>2852</v>
      </c>
    </row>
    <row r="2419" spans="8:9">
      <c r="H2419" s="20" t="s">
        <v>2457</v>
      </c>
      <c r="I2419" s="21" t="s">
        <v>2849</v>
      </c>
    </row>
    <row r="2420" spans="8:9">
      <c r="H2420" s="20" t="s">
        <v>2458</v>
      </c>
      <c r="I2420" s="21" t="s">
        <v>2850</v>
      </c>
    </row>
    <row r="2421" spans="8:9">
      <c r="H2421" s="20" t="s">
        <v>2459</v>
      </c>
      <c r="I2421" s="21" t="s">
        <v>2850</v>
      </c>
    </row>
    <row r="2422" spans="8:9">
      <c r="H2422" s="20" t="s">
        <v>2460</v>
      </c>
      <c r="I2422" s="22" t="s">
        <v>2848</v>
      </c>
    </row>
    <row r="2423" spans="8:9">
      <c r="H2423" s="20" t="s">
        <v>2461</v>
      </c>
      <c r="I2423" s="22" t="s">
        <v>2849</v>
      </c>
    </row>
    <row r="2424" spans="8:9">
      <c r="H2424" s="20" t="s">
        <v>2462</v>
      </c>
      <c r="I2424" s="22" t="s">
        <v>2849</v>
      </c>
    </row>
    <row r="2425" spans="8:9">
      <c r="H2425" s="20" t="s">
        <v>2463</v>
      </c>
      <c r="I2425" s="22" t="s">
        <v>2849</v>
      </c>
    </row>
    <row r="2426" spans="8:9">
      <c r="H2426" s="20" t="s">
        <v>2464</v>
      </c>
      <c r="I2426" s="21" t="s">
        <v>2850</v>
      </c>
    </row>
    <row r="2427" spans="8:9">
      <c r="H2427" s="20" t="s">
        <v>2465</v>
      </c>
      <c r="I2427" s="22" t="s">
        <v>2849</v>
      </c>
    </row>
    <row r="2428" spans="8:9">
      <c r="H2428" s="20" t="s">
        <v>2466</v>
      </c>
      <c r="I2428" s="22" t="s">
        <v>2850</v>
      </c>
    </row>
    <row r="2429" spans="8:9">
      <c r="H2429" s="20" t="s">
        <v>2467</v>
      </c>
      <c r="I2429" s="22" t="s">
        <v>2848</v>
      </c>
    </row>
    <row r="2430" spans="8:9">
      <c r="H2430" s="20" t="s">
        <v>2468</v>
      </c>
      <c r="I2430" s="22" t="s">
        <v>2848</v>
      </c>
    </row>
    <row r="2431" spans="8:9">
      <c r="H2431" s="20" t="s">
        <v>2469</v>
      </c>
      <c r="I2431" s="22" t="s">
        <v>2848</v>
      </c>
    </row>
    <row r="2432" spans="8:9">
      <c r="H2432" s="20" t="s">
        <v>2470</v>
      </c>
      <c r="I2432" s="22" t="s">
        <v>2849</v>
      </c>
    </row>
    <row r="2433" spans="8:9">
      <c r="H2433" s="20" t="s">
        <v>2471</v>
      </c>
      <c r="I2433" s="22" t="s">
        <v>2849</v>
      </c>
    </row>
    <row r="2434" spans="8:9">
      <c r="H2434" s="20" t="s">
        <v>2472</v>
      </c>
      <c r="I2434" s="21" t="s">
        <v>2852</v>
      </c>
    </row>
    <row r="2435" spans="8:9">
      <c r="H2435" s="20" t="s">
        <v>2473</v>
      </c>
      <c r="I2435" s="21" t="s">
        <v>2852</v>
      </c>
    </row>
    <row r="2436" spans="8:9">
      <c r="H2436" s="20" t="s">
        <v>2474</v>
      </c>
      <c r="I2436" s="21" t="s">
        <v>2850</v>
      </c>
    </row>
    <row r="2437" spans="8:9">
      <c r="H2437" s="20" t="s">
        <v>2475</v>
      </c>
      <c r="I2437" s="21" t="s">
        <v>2852</v>
      </c>
    </row>
    <row r="2438" spans="8:9">
      <c r="H2438" s="20" t="s">
        <v>2476</v>
      </c>
      <c r="I2438" s="21" t="s">
        <v>2850</v>
      </c>
    </row>
    <row r="2439" spans="8:9">
      <c r="H2439" s="20" t="s">
        <v>2477</v>
      </c>
      <c r="I2439" s="21" t="s">
        <v>2852</v>
      </c>
    </row>
    <row r="2440" spans="8:9">
      <c r="H2440" s="20" t="s">
        <v>2478</v>
      </c>
      <c r="I2440" s="22" t="s">
        <v>2849</v>
      </c>
    </row>
    <row r="2441" spans="8:9">
      <c r="H2441" s="20" t="s">
        <v>2479</v>
      </c>
      <c r="I2441" s="21" t="s">
        <v>2852</v>
      </c>
    </row>
    <row r="2442" spans="8:9">
      <c r="H2442" s="20" t="s">
        <v>2480</v>
      </c>
      <c r="I2442" s="21" t="s">
        <v>2850</v>
      </c>
    </row>
    <row r="2443" spans="8:9">
      <c r="H2443" s="20" t="s">
        <v>2481</v>
      </c>
      <c r="I2443" s="22" t="s">
        <v>2848</v>
      </c>
    </row>
    <row r="2444" spans="8:9">
      <c r="H2444" s="20" t="s">
        <v>2482</v>
      </c>
      <c r="I2444" s="22" t="s">
        <v>2848</v>
      </c>
    </row>
    <row r="2445" spans="8:9">
      <c r="H2445" s="20" t="s">
        <v>2483</v>
      </c>
      <c r="I2445" s="22" t="s">
        <v>2849</v>
      </c>
    </row>
    <row r="2446" spans="8:9">
      <c r="H2446" s="20" t="s">
        <v>2484</v>
      </c>
      <c r="I2446" s="22" t="s">
        <v>2848</v>
      </c>
    </row>
    <row r="2447" spans="8:9">
      <c r="H2447" s="20" t="s">
        <v>2485</v>
      </c>
      <c r="I2447" s="22" t="s">
        <v>2848</v>
      </c>
    </row>
    <row r="2448" spans="8:9">
      <c r="H2448" s="20" t="s">
        <v>2486</v>
      </c>
      <c r="I2448" s="22" t="s">
        <v>2849</v>
      </c>
    </row>
    <row r="2449" spans="8:9">
      <c r="H2449" s="20" t="s">
        <v>2487</v>
      </c>
      <c r="I2449" s="21" t="s">
        <v>2852</v>
      </c>
    </row>
    <row r="2450" spans="8:9">
      <c r="H2450" s="20" t="s">
        <v>2488</v>
      </c>
      <c r="I2450" s="21" t="s">
        <v>2850</v>
      </c>
    </row>
    <row r="2451" spans="8:9">
      <c r="H2451" s="20" t="s">
        <v>2489</v>
      </c>
      <c r="I2451" s="22" t="s">
        <v>2848</v>
      </c>
    </row>
    <row r="2452" spans="8:9">
      <c r="H2452" s="20" t="s">
        <v>2490</v>
      </c>
      <c r="I2452" s="22" t="s">
        <v>2848</v>
      </c>
    </row>
    <row r="2453" spans="8:9">
      <c r="H2453" s="20" t="s">
        <v>2491</v>
      </c>
      <c r="I2453" s="22" t="s">
        <v>2848</v>
      </c>
    </row>
    <row r="2454" spans="8:9">
      <c r="H2454" s="20" t="s">
        <v>2492</v>
      </c>
      <c r="I2454" s="21" t="s">
        <v>2852</v>
      </c>
    </row>
    <row r="2455" spans="8:9">
      <c r="H2455" s="20" t="s">
        <v>2493</v>
      </c>
      <c r="I2455" s="21" t="s">
        <v>2850</v>
      </c>
    </row>
    <row r="2456" spans="8:9">
      <c r="H2456" s="20" t="s">
        <v>2494</v>
      </c>
      <c r="I2456" s="21" t="s">
        <v>2850</v>
      </c>
    </row>
    <row r="2457" spans="8:9">
      <c r="H2457" s="20" t="s">
        <v>2495</v>
      </c>
      <c r="I2457" s="21" t="s">
        <v>2850</v>
      </c>
    </row>
    <row r="2458" spans="8:9">
      <c r="H2458" s="20" t="s">
        <v>2496</v>
      </c>
      <c r="I2458" s="22" t="s">
        <v>2850</v>
      </c>
    </row>
    <row r="2459" spans="8:9">
      <c r="H2459" s="20" t="s">
        <v>2497</v>
      </c>
      <c r="I2459" s="22" t="s">
        <v>2850</v>
      </c>
    </row>
    <row r="2460" spans="8:9">
      <c r="H2460" s="20" t="s">
        <v>2498</v>
      </c>
      <c r="I2460" s="22" t="s">
        <v>2850</v>
      </c>
    </row>
    <row r="2461" spans="8:9">
      <c r="H2461" s="20" t="s">
        <v>2499</v>
      </c>
      <c r="I2461" s="22" t="s">
        <v>2850</v>
      </c>
    </row>
    <row r="2462" spans="8:9">
      <c r="H2462" s="20" t="s">
        <v>2500</v>
      </c>
      <c r="I2462" s="22" t="s">
        <v>2850</v>
      </c>
    </row>
    <row r="2463" spans="8:9">
      <c r="H2463" s="20" t="s">
        <v>2501</v>
      </c>
      <c r="I2463" s="22" t="s">
        <v>2850</v>
      </c>
    </row>
    <row r="2464" spans="8:9">
      <c r="H2464" s="20" t="s">
        <v>2502</v>
      </c>
      <c r="I2464" s="22" t="s">
        <v>2850</v>
      </c>
    </row>
    <row r="2465" spans="8:9">
      <c r="H2465" s="20" t="s">
        <v>2503</v>
      </c>
      <c r="I2465" s="22" t="s">
        <v>2850</v>
      </c>
    </row>
    <row r="2466" spans="8:9">
      <c r="H2466" s="20" t="s">
        <v>2504</v>
      </c>
      <c r="I2466" s="21" t="s">
        <v>2850</v>
      </c>
    </row>
    <row r="2467" spans="8:9">
      <c r="H2467" s="20" t="s">
        <v>2505</v>
      </c>
      <c r="I2467" s="22" t="s">
        <v>2850</v>
      </c>
    </row>
    <row r="2468" spans="8:9">
      <c r="H2468" s="20" t="s">
        <v>2506</v>
      </c>
      <c r="I2468" s="22" t="s">
        <v>2850</v>
      </c>
    </row>
    <row r="2469" spans="8:9">
      <c r="H2469" s="20" t="s">
        <v>2507</v>
      </c>
      <c r="I2469" s="22" t="s">
        <v>2852</v>
      </c>
    </row>
    <row r="2470" spans="8:9">
      <c r="H2470" s="20" t="s">
        <v>2508</v>
      </c>
      <c r="I2470" s="22" t="s">
        <v>2848</v>
      </c>
    </row>
    <row r="2471" spans="8:9">
      <c r="H2471" s="20" t="s">
        <v>2509</v>
      </c>
      <c r="I2471" s="22" t="s">
        <v>2848</v>
      </c>
    </row>
    <row r="2472" spans="8:9">
      <c r="H2472" s="20" t="s">
        <v>2510</v>
      </c>
      <c r="I2472" s="22" t="s">
        <v>2848</v>
      </c>
    </row>
    <row r="2473" spans="8:9">
      <c r="H2473" s="20" t="s">
        <v>2511</v>
      </c>
      <c r="I2473" s="21" t="s">
        <v>2850</v>
      </c>
    </row>
    <row r="2474" spans="8:9">
      <c r="H2474" s="20" t="s">
        <v>2512</v>
      </c>
      <c r="I2474" s="22" t="s">
        <v>2849</v>
      </c>
    </row>
    <row r="2475" spans="8:9">
      <c r="H2475" s="20" t="s">
        <v>2513</v>
      </c>
      <c r="I2475" s="22" t="s">
        <v>2849</v>
      </c>
    </row>
    <row r="2476" spans="8:9">
      <c r="H2476" s="20" t="s">
        <v>2514</v>
      </c>
      <c r="I2476" s="22" t="s">
        <v>2848</v>
      </c>
    </row>
    <row r="2477" spans="8:9">
      <c r="H2477" s="20" t="s">
        <v>2515</v>
      </c>
      <c r="I2477" s="21" t="s">
        <v>2852</v>
      </c>
    </row>
    <row r="2478" spans="8:9">
      <c r="H2478" s="20" t="s">
        <v>2516</v>
      </c>
      <c r="I2478" s="22" t="s">
        <v>2849</v>
      </c>
    </row>
    <row r="2479" spans="8:9">
      <c r="H2479" s="20" t="s">
        <v>2517</v>
      </c>
      <c r="I2479" s="22" t="s">
        <v>2848</v>
      </c>
    </row>
    <row r="2480" spans="8:9">
      <c r="H2480" s="20" t="s">
        <v>2518</v>
      </c>
      <c r="I2480" s="22" t="s">
        <v>2848</v>
      </c>
    </row>
    <row r="2481" spans="8:9">
      <c r="H2481" s="20" t="s">
        <v>2519</v>
      </c>
      <c r="I2481" s="21" t="s">
        <v>2852</v>
      </c>
    </row>
    <row r="2482" spans="8:9">
      <c r="H2482" s="20" t="s">
        <v>2520</v>
      </c>
      <c r="I2482" s="22" t="s">
        <v>2848</v>
      </c>
    </row>
    <row r="2483" spans="8:9">
      <c r="H2483" s="20" t="s">
        <v>2521</v>
      </c>
      <c r="I2483" s="21" t="s">
        <v>2850</v>
      </c>
    </row>
    <row r="2484" spans="8:9">
      <c r="H2484" s="20" t="s">
        <v>2522</v>
      </c>
      <c r="I2484" s="22" t="s">
        <v>2849</v>
      </c>
    </row>
    <row r="2485" spans="8:9">
      <c r="H2485" s="20" t="s">
        <v>2523</v>
      </c>
      <c r="I2485" s="22" t="s">
        <v>2849</v>
      </c>
    </row>
    <row r="2486" spans="8:9">
      <c r="H2486" s="20" t="s">
        <v>2524</v>
      </c>
      <c r="I2486" s="22" t="s">
        <v>2849</v>
      </c>
    </row>
    <row r="2487" spans="8:9">
      <c r="H2487" s="20" t="s">
        <v>2525</v>
      </c>
      <c r="I2487" s="22" t="s">
        <v>2849</v>
      </c>
    </row>
    <row r="2488" spans="8:9">
      <c r="H2488" s="20" t="s">
        <v>2526</v>
      </c>
      <c r="I2488" s="22" t="s">
        <v>2849</v>
      </c>
    </row>
    <row r="2489" spans="8:9">
      <c r="H2489" s="20" t="s">
        <v>2527</v>
      </c>
      <c r="I2489" s="22" t="s">
        <v>2848</v>
      </c>
    </row>
    <row r="2490" spans="8:9">
      <c r="H2490" s="20" t="s">
        <v>2528</v>
      </c>
      <c r="I2490" s="22" t="s">
        <v>2850</v>
      </c>
    </row>
    <row r="2491" spans="8:9">
      <c r="H2491" s="20" t="s">
        <v>2529</v>
      </c>
      <c r="I2491" s="21" t="s">
        <v>2850</v>
      </c>
    </row>
    <row r="2492" spans="8:9">
      <c r="H2492" s="20" t="s">
        <v>2530</v>
      </c>
      <c r="I2492" s="22" t="s">
        <v>2850</v>
      </c>
    </row>
    <row r="2493" spans="8:9">
      <c r="H2493" s="20" t="s">
        <v>2531</v>
      </c>
      <c r="I2493" s="21" t="s">
        <v>2850</v>
      </c>
    </row>
    <row r="2494" spans="8:9">
      <c r="H2494" s="20" t="s">
        <v>2532</v>
      </c>
      <c r="I2494" s="22" t="s">
        <v>2848</v>
      </c>
    </row>
    <row r="2495" spans="8:9">
      <c r="H2495" s="20" t="s">
        <v>2533</v>
      </c>
      <c r="I2495" s="21" t="s">
        <v>2848</v>
      </c>
    </row>
    <row r="2496" spans="8:9">
      <c r="H2496" s="20" t="s">
        <v>2534</v>
      </c>
      <c r="I2496" s="21" t="s">
        <v>2852</v>
      </c>
    </row>
    <row r="2497" spans="8:9">
      <c r="H2497" s="20" t="s">
        <v>2535</v>
      </c>
      <c r="I2497" s="21" t="s">
        <v>2849</v>
      </c>
    </row>
    <row r="2498" spans="8:9">
      <c r="H2498" s="20" t="s">
        <v>2536</v>
      </c>
      <c r="I2498" s="21" t="s">
        <v>2850</v>
      </c>
    </row>
    <row r="2499" spans="8:9">
      <c r="H2499" s="20" t="s">
        <v>2537</v>
      </c>
      <c r="I2499" s="22" t="s">
        <v>2848</v>
      </c>
    </row>
    <row r="2500" spans="8:9">
      <c r="H2500" s="20" t="s">
        <v>2538</v>
      </c>
      <c r="I2500" s="21" t="s">
        <v>2850</v>
      </c>
    </row>
    <row r="2501" spans="8:9">
      <c r="H2501" s="20" t="s">
        <v>2539</v>
      </c>
      <c r="I2501" s="22" t="s">
        <v>2849</v>
      </c>
    </row>
    <row r="2502" spans="8:9">
      <c r="H2502" s="20" t="s">
        <v>2540</v>
      </c>
      <c r="I2502" s="22" t="s">
        <v>2848</v>
      </c>
    </row>
    <row r="2503" spans="8:9">
      <c r="H2503" s="20" t="s">
        <v>2541</v>
      </c>
      <c r="I2503" s="22" t="s">
        <v>2848</v>
      </c>
    </row>
    <row r="2504" spans="8:9">
      <c r="H2504" s="20" t="s">
        <v>2542</v>
      </c>
      <c r="I2504" s="22" t="s">
        <v>2848</v>
      </c>
    </row>
    <row r="2505" spans="8:9">
      <c r="H2505" s="20" t="s">
        <v>2543</v>
      </c>
      <c r="I2505" s="22" t="s">
        <v>2848</v>
      </c>
    </row>
    <row r="2506" spans="8:9">
      <c r="H2506" s="20" t="s">
        <v>2544</v>
      </c>
      <c r="I2506" s="22" t="s">
        <v>2848</v>
      </c>
    </row>
    <row r="2507" spans="8:9">
      <c r="H2507" s="20" t="s">
        <v>2545</v>
      </c>
      <c r="I2507" s="22" t="s">
        <v>2848</v>
      </c>
    </row>
    <row r="2508" spans="8:9">
      <c r="H2508" s="20" t="s">
        <v>2546</v>
      </c>
      <c r="I2508" s="22" t="s">
        <v>2848</v>
      </c>
    </row>
    <row r="2509" spans="8:9">
      <c r="H2509" s="20" t="s">
        <v>2547</v>
      </c>
      <c r="I2509" s="22" t="s">
        <v>2848</v>
      </c>
    </row>
    <row r="2510" spans="8:9">
      <c r="H2510" s="20" t="s">
        <v>2548</v>
      </c>
      <c r="I2510" s="21" t="s">
        <v>2852</v>
      </c>
    </row>
    <row r="2511" spans="8:9">
      <c r="H2511" s="20" t="s">
        <v>2549</v>
      </c>
      <c r="I2511" s="21" t="s">
        <v>2852</v>
      </c>
    </row>
    <row r="2512" spans="8:9">
      <c r="H2512" s="20" t="s">
        <v>2550</v>
      </c>
      <c r="I2512" s="21" t="s">
        <v>2849</v>
      </c>
    </row>
    <row r="2513" spans="8:9">
      <c r="H2513" s="20" t="s">
        <v>2551</v>
      </c>
      <c r="I2513" s="22" t="s">
        <v>2849</v>
      </c>
    </row>
    <row r="2514" spans="8:9">
      <c r="H2514" s="20" t="s">
        <v>2552</v>
      </c>
      <c r="I2514" s="22" t="s">
        <v>2848</v>
      </c>
    </row>
    <row r="2515" spans="8:9">
      <c r="H2515" s="20" t="s">
        <v>2553</v>
      </c>
      <c r="I2515" s="22" t="s">
        <v>2852</v>
      </c>
    </row>
    <row r="2516" spans="8:9">
      <c r="H2516" s="20" t="s">
        <v>2554</v>
      </c>
      <c r="I2516" s="22" t="s">
        <v>2852</v>
      </c>
    </row>
    <row r="2517" spans="8:9">
      <c r="H2517" s="20" t="s">
        <v>2555</v>
      </c>
      <c r="I2517" s="22" t="s">
        <v>2848</v>
      </c>
    </row>
    <row r="2518" spans="8:9">
      <c r="H2518" s="20" t="s">
        <v>2556</v>
      </c>
      <c r="I2518" s="22" t="s">
        <v>2849</v>
      </c>
    </row>
    <row r="2519" spans="8:9">
      <c r="H2519" s="20" t="s">
        <v>2557</v>
      </c>
      <c r="I2519" s="22" t="s">
        <v>2852</v>
      </c>
    </row>
    <row r="2520" spans="8:9">
      <c r="H2520" s="20" t="s">
        <v>2558</v>
      </c>
      <c r="I2520" s="22" t="s">
        <v>2848</v>
      </c>
    </row>
    <row r="2521" spans="8:9">
      <c r="H2521" s="20" t="s">
        <v>2559</v>
      </c>
      <c r="I2521" s="22" t="s">
        <v>2850</v>
      </c>
    </row>
    <row r="2522" spans="8:9">
      <c r="H2522" s="20" t="s">
        <v>2560</v>
      </c>
      <c r="I2522" s="22" t="s">
        <v>2848</v>
      </c>
    </row>
    <row r="2523" spans="8:9">
      <c r="H2523" s="20" t="s">
        <v>2561</v>
      </c>
      <c r="I2523" s="22" t="s">
        <v>2848</v>
      </c>
    </row>
    <row r="2524" spans="8:9">
      <c r="H2524" s="20" t="s">
        <v>2562</v>
      </c>
      <c r="I2524" s="22" t="s">
        <v>2852</v>
      </c>
    </row>
    <row r="2525" spans="8:9">
      <c r="H2525" s="20" t="s">
        <v>2563</v>
      </c>
      <c r="I2525" s="22" t="s">
        <v>2852</v>
      </c>
    </row>
    <row r="2526" spans="8:9">
      <c r="H2526" s="20" t="s">
        <v>2564</v>
      </c>
      <c r="I2526" s="22" t="s">
        <v>2848</v>
      </c>
    </row>
    <row r="2527" spans="8:9">
      <c r="H2527" s="20" t="s">
        <v>2565</v>
      </c>
      <c r="I2527" s="22" t="s">
        <v>2848</v>
      </c>
    </row>
    <row r="2528" spans="8:9">
      <c r="H2528" s="20" t="s">
        <v>2566</v>
      </c>
      <c r="I2528" s="22" t="s">
        <v>2848</v>
      </c>
    </row>
    <row r="2529" spans="8:9">
      <c r="H2529" s="20" t="s">
        <v>2567</v>
      </c>
      <c r="I2529" s="21" t="s">
        <v>2850</v>
      </c>
    </row>
    <row r="2530" spans="8:9">
      <c r="H2530" s="20" t="s">
        <v>2568</v>
      </c>
      <c r="I2530" s="22" t="s">
        <v>2849</v>
      </c>
    </row>
    <row r="2531" spans="8:9">
      <c r="H2531" s="20" t="s">
        <v>2569</v>
      </c>
      <c r="I2531" s="22" t="s">
        <v>2849</v>
      </c>
    </row>
    <row r="2532" spans="8:9">
      <c r="H2532" s="20" t="s">
        <v>2570</v>
      </c>
      <c r="I2532" s="22" t="s">
        <v>2856</v>
      </c>
    </row>
    <row r="2533" spans="8:9">
      <c r="H2533" s="20" t="s">
        <v>2571</v>
      </c>
      <c r="I2533" s="21" t="s">
        <v>2849</v>
      </c>
    </row>
    <row r="2534" spans="8:9">
      <c r="H2534" s="20" t="s">
        <v>2572</v>
      </c>
      <c r="I2534" s="22" t="s">
        <v>2849</v>
      </c>
    </row>
    <row r="2535" spans="8:9">
      <c r="H2535" s="20" t="s">
        <v>2573</v>
      </c>
      <c r="I2535" s="22" t="s">
        <v>2849</v>
      </c>
    </row>
    <row r="2536" spans="8:9">
      <c r="H2536" s="20" t="s">
        <v>2574</v>
      </c>
      <c r="I2536" s="22" t="s">
        <v>2849</v>
      </c>
    </row>
    <row r="2537" spans="8:9">
      <c r="H2537" s="20" t="s">
        <v>2575</v>
      </c>
      <c r="I2537" s="22" t="s">
        <v>2849</v>
      </c>
    </row>
    <row r="2538" spans="8:9">
      <c r="H2538" s="20" t="s">
        <v>2576</v>
      </c>
      <c r="I2538" s="22" t="s">
        <v>2849</v>
      </c>
    </row>
    <row r="2539" spans="8:9">
      <c r="H2539" s="20" t="s">
        <v>2577</v>
      </c>
      <c r="I2539" s="22" t="s">
        <v>2849</v>
      </c>
    </row>
    <row r="2540" spans="8:9">
      <c r="H2540" s="20" t="s">
        <v>2578</v>
      </c>
      <c r="I2540" s="21" t="s">
        <v>2852</v>
      </c>
    </row>
    <row r="2541" spans="8:9">
      <c r="H2541" s="20" t="s">
        <v>2579</v>
      </c>
      <c r="I2541" s="21" t="s">
        <v>2852</v>
      </c>
    </row>
    <row r="2542" spans="8:9">
      <c r="H2542" s="20" t="s">
        <v>2580</v>
      </c>
      <c r="I2542" s="22" t="s">
        <v>2849</v>
      </c>
    </row>
    <row r="2543" spans="8:9">
      <c r="H2543" s="20" t="s">
        <v>2581</v>
      </c>
      <c r="I2543" s="22" t="s">
        <v>2849</v>
      </c>
    </row>
    <row r="2544" spans="8:9">
      <c r="H2544" s="20" t="s">
        <v>2582</v>
      </c>
      <c r="I2544" s="22" t="s">
        <v>2848</v>
      </c>
    </row>
    <row r="2545" spans="8:9">
      <c r="H2545" s="20" t="s">
        <v>2583</v>
      </c>
      <c r="I2545" s="22" t="s">
        <v>2850</v>
      </c>
    </row>
    <row r="2546" spans="8:9">
      <c r="H2546" s="20" t="s">
        <v>2584</v>
      </c>
      <c r="I2546" s="22" t="s">
        <v>2848</v>
      </c>
    </row>
    <row r="2547" spans="8:9">
      <c r="H2547" s="20" t="s">
        <v>2585</v>
      </c>
      <c r="I2547" s="22" t="s">
        <v>2848</v>
      </c>
    </row>
    <row r="2548" spans="8:9">
      <c r="H2548" s="20" t="s">
        <v>2586</v>
      </c>
      <c r="I2548" s="22" t="s">
        <v>2848</v>
      </c>
    </row>
    <row r="2549" spans="8:9">
      <c r="H2549" s="20" t="s">
        <v>2587</v>
      </c>
      <c r="I2549" s="22" t="s">
        <v>2848</v>
      </c>
    </row>
    <row r="2550" spans="8:9">
      <c r="H2550" s="20" t="s">
        <v>2588</v>
      </c>
      <c r="I2550" s="22" t="s">
        <v>2848</v>
      </c>
    </row>
    <row r="2551" spans="8:9">
      <c r="H2551" s="20" t="s">
        <v>2589</v>
      </c>
      <c r="I2551" s="22" t="s">
        <v>2848</v>
      </c>
    </row>
    <row r="2552" spans="8:9">
      <c r="H2552" s="20" t="s">
        <v>2590</v>
      </c>
      <c r="I2552" s="22" t="s">
        <v>2848</v>
      </c>
    </row>
    <row r="2553" spans="8:9">
      <c r="H2553" s="20" t="s">
        <v>2591</v>
      </c>
      <c r="I2553" s="22" t="s">
        <v>2849</v>
      </c>
    </row>
    <row r="2554" spans="8:9">
      <c r="H2554" s="20" t="s">
        <v>2592</v>
      </c>
      <c r="I2554" s="22" t="s">
        <v>2848</v>
      </c>
    </row>
    <row r="2555" spans="8:9">
      <c r="H2555" s="20" t="s">
        <v>2593</v>
      </c>
      <c r="I2555" s="22" t="s">
        <v>2849</v>
      </c>
    </row>
    <row r="2556" spans="8:9">
      <c r="H2556" s="20" t="s">
        <v>2594</v>
      </c>
      <c r="I2556" s="22" t="s">
        <v>2849</v>
      </c>
    </row>
    <row r="2557" spans="8:9">
      <c r="H2557" s="20" t="s">
        <v>2595</v>
      </c>
      <c r="I2557" s="21" t="s">
        <v>2850</v>
      </c>
    </row>
    <row r="2558" spans="8:9">
      <c r="H2558" s="20" t="s">
        <v>2596</v>
      </c>
      <c r="I2558" s="22" t="s">
        <v>2856</v>
      </c>
    </row>
    <row r="2559" spans="8:9">
      <c r="H2559" s="20" t="s">
        <v>2597</v>
      </c>
      <c r="I2559" s="21" t="s">
        <v>2852</v>
      </c>
    </row>
    <row r="2560" spans="8:9">
      <c r="H2560" s="20" t="s">
        <v>2598</v>
      </c>
      <c r="I2560" s="21" t="s">
        <v>2850</v>
      </c>
    </row>
    <row r="2561" spans="8:9">
      <c r="H2561" s="20" t="s">
        <v>2599</v>
      </c>
      <c r="I2561" s="22" t="s">
        <v>2850</v>
      </c>
    </row>
    <row r="2562" spans="8:9">
      <c r="H2562" s="20" t="s">
        <v>2600</v>
      </c>
      <c r="I2562" s="22" t="s">
        <v>2850</v>
      </c>
    </row>
    <row r="2563" spans="8:9">
      <c r="H2563" s="20" t="s">
        <v>2601</v>
      </c>
      <c r="I2563" s="22" t="s">
        <v>2850</v>
      </c>
    </row>
    <row r="2564" spans="8:9">
      <c r="H2564" s="20" t="s">
        <v>2602</v>
      </c>
      <c r="I2564" s="22" t="s">
        <v>2850</v>
      </c>
    </row>
    <row r="2565" spans="8:9">
      <c r="H2565" s="20" t="s">
        <v>2603</v>
      </c>
      <c r="I2565" s="21" t="s">
        <v>2850</v>
      </c>
    </row>
    <row r="2566" spans="8:9">
      <c r="H2566" s="20" t="s">
        <v>2604</v>
      </c>
      <c r="I2566" s="22" t="s">
        <v>2850</v>
      </c>
    </row>
    <row r="2567" spans="8:9">
      <c r="H2567" s="20" t="s">
        <v>2605</v>
      </c>
      <c r="I2567" s="22" t="s">
        <v>2850</v>
      </c>
    </row>
    <row r="2568" spans="8:9">
      <c r="H2568" s="20" t="s">
        <v>2606</v>
      </c>
      <c r="I2568" s="22" t="s">
        <v>2850</v>
      </c>
    </row>
    <row r="2569" spans="8:9">
      <c r="H2569" s="20" t="s">
        <v>2607</v>
      </c>
      <c r="I2569" s="21" t="s">
        <v>2850</v>
      </c>
    </row>
    <row r="2570" spans="8:9">
      <c r="H2570" s="20" t="s">
        <v>2608</v>
      </c>
      <c r="I2570" s="22" t="s">
        <v>2850</v>
      </c>
    </row>
    <row r="2571" spans="8:9">
      <c r="H2571" s="20" t="s">
        <v>2609</v>
      </c>
      <c r="I2571" s="21" t="s">
        <v>2849</v>
      </c>
    </row>
    <row r="2572" spans="8:9">
      <c r="H2572" s="20" t="s">
        <v>2610</v>
      </c>
      <c r="I2572" s="22" t="s">
        <v>2849</v>
      </c>
    </row>
    <row r="2573" spans="8:9">
      <c r="H2573" s="20" t="s">
        <v>2611</v>
      </c>
      <c r="I2573" s="22" t="s">
        <v>2849</v>
      </c>
    </row>
    <row r="2574" spans="8:9">
      <c r="H2574" s="264" t="s">
        <v>2612</v>
      </c>
      <c r="I2574" s="22" t="s">
        <v>2849</v>
      </c>
    </row>
    <row r="2575" spans="8:9">
      <c r="H2575" s="20" t="s">
        <v>2613</v>
      </c>
      <c r="I2575" s="22" t="s">
        <v>2849</v>
      </c>
    </row>
    <row r="2576" spans="8:9">
      <c r="H2576" s="12" t="s">
        <v>2614</v>
      </c>
      <c r="I2576" s="22" t="s">
        <v>2849</v>
      </c>
    </row>
    <row r="2577" spans="8:9">
      <c r="H2577" s="20" t="s">
        <v>2615</v>
      </c>
      <c r="I2577" s="22" t="s">
        <v>2849</v>
      </c>
    </row>
    <row r="2578" spans="8:9">
      <c r="H2578" s="20" t="s">
        <v>2616</v>
      </c>
      <c r="I2578" s="22" t="s">
        <v>2850</v>
      </c>
    </row>
    <row r="2579" spans="8:9">
      <c r="H2579" s="20" t="s">
        <v>2617</v>
      </c>
      <c r="I2579" s="22" t="s">
        <v>2852</v>
      </c>
    </row>
    <row r="2580" spans="8:9">
      <c r="H2580" s="20" t="s">
        <v>2618</v>
      </c>
      <c r="I2580" s="21" t="s">
        <v>2850</v>
      </c>
    </row>
    <row r="2581" spans="8:9">
      <c r="H2581" s="20" t="s">
        <v>2619</v>
      </c>
      <c r="I2581" s="22" t="s">
        <v>2848</v>
      </c>
    </row>
    <row r="2582" spans="8:9">
      <c r="H2582" s="20" t="s">
        <v>2620</v>
      </c>
      <c r="I2582" s="22" t="s">
        <v>2848</v>
      </c>
    </row>
    <row r="2583" spans="8:9">
      <c r="H2583" s="20" t="s">
        <v>2621</v>
      </c>
      <c r="I2583" s="22" t="s">
        <v>2848</v>
      </c>
    </row>
    <row r="2584" spans="8:9">
      <c r="H2584" s="20" t="s">
        <v>2622</v>
      </c>
      <c r="I2584" s="22" t="s">
        <v>2848</v>
      </c>
    </row>
    <row r="2585" spans="8:9">
      <c r="H2585" s="20" t="s">
        <v>2623</v>
      </c>
      <c r="I2585" s="22" t="s">
        <v>2848</v>
      </c>
    </row>
    <row r="2586" spans="8:9">
      <c r="H2586" s="20" t="s">
        <v>2624</v>
      </c>
      <c r="I2586" s="22" t="s">
        <v>2848</v>
      </c>
    </row>
    <row r="2587" spans="8:9">
      <c r="H2587" s="20" t="s">
        <v>2625</v>
      </c>
      <c r="I2587" s="22" t="s">
        <v>2848</v>
      </c>
    </row>
    <row r="2588" spans="8:9">
      <c r="H2588" s="20" t="s">
        <v>2626</v>
      </c>
      <c r="I2588" s="22" t="s">
        <v>2848</v>
      </c>
    </row>
    <row r="2589" spans="8:9">
      <c r="H2589" s="20" t="s">
        <v>2627</v>
      </c>
      <c r="I2589" s="22" t="s">
        <v>2848</v>
      </c>
    </row>
    <row r="2590" spans="8:9">
      <c r="H2590" s="20" t="s">
        <v>2628</v>
      </c>
      <c r="I2590" s="22" t="s">
        <v>2848</v>
      </c>
    </row>
    <row r="2591" spans="8:9">
      <c r="H2591" s="20" t="s">
        <v>2629</v>
      </c>
      <c r="I2591" s="22" t="s">
        <v>2848</v>
      </c>
    </row>
    <row r="2592" spans="8:9">
      <c r="H2592" s="20" t="s">
        <v>2630</v>
      </c>
      <c r="I2592" s="22" t="s">
        <v>2848</v>
      </c>
    </row>
    <row r="2593" spans="8:9">
      <c r="H2593" s="20" t="s">
        <v>2631</v>
      </c>
      <c r="I2593" s="22" t="s">
        <v>2849</v>
      </c>
    </row>
    <row r="2594" spans="8:9">
      <c r="H2594" s="20" t="s">
        <v>2632</v>
      </c>
      <c r="I2594" s="21" t="s">
        <v>2852</v>
      </c>
    </row>
    <row r="2595" spans="8:9">
      <c r="H2595" s="20" t="s">
        <v>2633</v>
      </c>
      <c r="I2595" s="22" t="s">
        <v>2849</v>
      </c>
    </row>
    <row r="2596" spans="8:9">
      <c r="H2596" s="20" t="s">
        <v>2634</v>
      </c>
      <c r="I2596" s="22" t="s">
        <v>2849</v>
      </c>
    </row>
    <row r="2597" spans="8:9">
      <c r="H2597" s="20" t="s">
        <v>2635</v>
      </c>
      <c r="I2597" s="22" t="s">
        <v>2848</v>
      </c>
    </row>
    <row r="2598" spans="8:9">
      <c r="H2598" s="20" t="s">
        <v>2636</v>
      </c>
      <c r="I2598" s="21" t="s">
        <v>2848</v>
      </c>
    </row>
    <row r="2599" spans="8:9">
      <c r="H2599" s="20" t="s">
        <v>2637</v>
      </c>
      <c r="I2599" s="21" t="s">
        <v>2850</v>
      </c>
    </row>
    <row r="2600" spans="8:9">
      <c r="H2600" s="20" t="s">
        <v>2638</v>
      </c>
      <c r="I2600" s="21" t="s">
        <v>2850</v>
      </c>
    </row>
    <row r="2601" spans="8:9">
      <c r="H2601" s="20" t="s">
        <v>2639</v>
      </c>
      <c r="I2601" s="21" t="s">
        <v>2849</v>
      </c>
    </row>
    <row r="2602" spans="8:9">
      <c r="H2602" s="20" t="s">
        <v>2640</v>
      </c>
      <c r="I2602" s="22" t="s">
        <v>2848</v>
      </c>
    </row>
    <row r="2603" spans="8:9">
      <c r="H2603" s="20" t="s">
        <v>2641</v>
      </c>
      <c r="I2603" s="22" t="s">
        <v>2849</v>
      </c>
    </row>
    <row r="2604" spans="8:9">
      <c r="H2604" s="20" t="s">
        <v>2642</v>
      </c>
      <c r="I2604" s="22" t="s">
        <v>2848</v>
      </c>
    </row>
    <row r="2605" spans="8:9">
      <c r="H2605" s="20" t="s">
        <v>2643</v>
      </c>
      <c r="I2605" s="22" t="s">
        <v>2849</v>
      </c>
    </row>
    <row r="2606" spans="8:9">
      <c r="H2606" s="20" t="s">
        <v>2644</v>
      </c>
      <c r="I2606" s="22" t="s">
        <v>2849</v>
      </c>
    </row>
    <row r="2607" spans="8:9">
      <c r="H2607" s="20" t="s">
        <v>2645</v>
      </c>
      <c r="I2607" s="22" t="s">
        <v>2848</v>
      </c>
    </row>
    <row r="2608" spans="8:9">
      <c r="H2608" s="20" t="s">
        <v>2646</v>
      </c>
      <c r="I2608" s="22" t="s">
        <v>2848</v>
      </c>
    </row>
    <row r="2609" spans="8:9">
      <c r="H2609" s="20" t="s">
        <v>2647</v>
      </c>
      <c r="I2609" s="21" t="s">
        <v>2849</v>
      </c>
    </row>
    <row r="2610" spans="8:9">
      <c r="H2610" s="20" t="s">
        <v>2648</v>
      </c>
      <c r="I2610" s="21" t="s">
        <v>2850</v>
      </c>
    </row>
    <row r="2611" spans="8:9">
      <c r="H2611" s="20" t="s">
        <v>2649</v>
      </c>
      <c r="I2611" s="21" t="s">
        <v>2852</v>
      </c>
    </row>
    <row r="2612" spans="8:9">
      <c r="H2612" s="20" t="s">
        <v>2650</v>
      </c>
      <c r="I2612" s="21" t="s">
        <v>2852</v>
      </c>
    </row>
    <row r="2613" spans="8:9">
      <c r="H2613" s="20" t="s">
        <v>2651</v>
      </c>
      <c r="I2613" s="21" t="s">
        <v>2852</v>
      </c>
    </row>
    <row r="2614" spans="8:9">
      <c r="H2614" s="20" t="s">
        <v>2652</v>
      </c>
      <c r="I2614" s="22" t="s">
        <v>2849</v>
      </c>
    </row>
    <row r="2615" spans="8:9">
      <c r="H2615" s="20" t="s">
        <v>2653</v>
      </c>
      <c r="I2615" s="21" t="s">
        <v>2850</v>
      </c>
    </row>
    <row r="2616" spans="8:9">
      <c r="H2616" s="20" t="s">
        <v>2654</v>
      </c>
      <c r="I2616" s="22" t="s">
        <v>2849</v>
      </c>
    </row>
    <row r="2617" spans="8:9">
      <c r="H2617" s="12" t="s">
        <v>2655</v>
      </c>
      <c r="I2617" s="22" t="s">
        <v>2849</v>
      </c>
    </row>
    <row r="2618" spans="8:9">
      <c r="H2618" s="20" t="s">
        <v>2656</v>
      </c>
      <c r="I2618" s="22" t="s">
        <v>2848</v>
      </c>
    </row>
    <row r="2619" spans="8:9">
      <c r="H2619" s="20" t="s">
        <v>2657</v>
      </c>
      <c r="I2619" s="22" t="s">
        <v>2848</v>
      </c>
    </row>
    <row r="2620" spans="8:9">
      <c r="H2620" s="20" t="s">
        <v>2658</v>
      </c>
      <c r="I2620" s="22" t="s">
        <v>2848</v>
      </c>
    </row>
    <row r="2621" spans="8:9">
      <c r="H2621" s="20" t="s">
        <v>2659</v>
      </c>
      <c r="I2621" s="22" t="s">
        <v>2849</v>
      </c>
    </row>
    <row r="2622" spans="8:9">
      <c r="H2622" s="20" t="s">
        <v>2660</v>
      </c>
      <c r="I2622" s="21" t="s">
        <v>2850</v>
      </c>
    </row>
    <row r="2623" spans="8:9">
      <c r="H2623" s="20" t="s">
        <v>2661</v>
      </c>
      <c r="I2623" s="22" t="s">
        <v>2848</v>
      </c>
    </row>
    <row r="2624" spans="8:9">
      <c r="H2624" s="20" t="s">
        <v>2662</v>
      </c>
      <c r="I2624" s="21" t="s">
        <v>2850</v>
      </c>
    </row>
    <row r="2625" spans="8:9">
      <c r="H2625" s="20" t="s">
        <v>2663</v>
      </c>
      <c r="I2625" s="22" t="s">
        <v>2849</v>
      </c>
    </row>
    <row r="2626" spans="8:9">
      <c r="H2626" s="20" t="s">
        <v>2664</v>
      </c>
      <c r="I2626" s="22" t="s">
        <v>2849</v>
      </c>
    </row>
    <row r="2627" spans="8:9">
      <c r="H2627" s="20" t="s">
        <v>2665</v>
      </c>
      <c r="I2627" s="22" t="s">
        <v>2848</v>
      </c>
    </row>
    <row r="2628" spans="8:9">
      <c r="H2628" s="20" t="s">
        <v>2666</v>
      </c>
      <c r="I2628" s="22" t="s">
        <v>2849</v>
      </c>
    </row>
    <row r="2629" spans="8:9">
      <c r="H2629" s="20" t="s">
        <v>2667</v>
      </c>
      <c r="I2629" s="22" t="s">
        <v>2849</v>
      </c>
    </row>
    <row r="2630" spans="8:9">
      <c r="H2630" s="20" t="s">
        <v>2668</v>
      </c>
      <c r="I2630" s="22" t="s">
        <v>2848</v>
      </c>
    </row>
    <row r="2631" spans="8:9">
      <c r="H2631" s="20" t="s">
        <v>2669</v>
      </c>
      <c r="I2631" s="22" t="s">
        <v>2849</v>
      </c>
    </row>
    <row r="2632" spans="8:9">
      <c r="H2632" s="20" t="s">
        <v>2670</v>
      </c>
      <c r="I2632" s="22" t="s">
        <v>2849</v>
      </c>
    </row>
    <row r="2633" spans="8:9">
      <c r="H2633" s="20" t="s">
        <v>2671</v>
      </c>
      <c r="I2633" s="21" t="s">
        <v>2852</v>
      </c>
    </row>
    <row r="2634" spans="8:9">
      <c r="H2634" s="20" t="s">
        <v>2672</v>
      </c>
      <c r="I2634" s="22" t="s">
        <v>2848</v>
      </c>
    </row>
    <row r="2635" spans="8:9">
      <c r="H2635" s="20" t="s">
        <v>2673</v>
      </c>
      <c r="I2635" s="22" t="s">
        <v>2848</v>
      </c>
    </row>
    <row r="2636" spans="8:9">
      <c r="H2636" s="20" t="s">
        <v>2674</v>
      </c>
      <c r="I2636" s="22" t="s">
        <v>2850</v>
      </c>
    </row>
    <row r="2637" spans="8:9">
      <c r="H2637" s="20" t="s">
        <v>2675</v>
      </c>
      <c r="I2637" s="22" t="s">
        <v>2850</v>
      </c>
    </row>
    <row r="2638" spans="8:9">
      <c r="H2638" s="20" t="s">
        <v>2676</v>
      </c>
      <c r="I2638" s="21" t="s">
        <v>2850</v>
      </c>
    </row>
    <row r="2639" spans="8:9">
      <c r="H2639" s="20" t="s">
        <v>2677</v>
      </c>
      <c r="I2639" s="22" t="s">
        <v>2850</v>
      </c>
    </row>
    <row r="2640" spans="8:9">
      <c r="H2640" s="20" t="s">
        <v>2678</v>
      </c>
      <c r="I2640" s="22" t="s">
        <v>2849</v>
      </c>
    </row>
    <row r="2641" spans="8:9">
      <c r="H2641" s="20" t="s">
        <v>2679</v>
      </c>
      <c r="I2641" s="22" t="s">
        <v>2848</v>
      </c>
    </row>
    <row r="2642" spans="8:9">
      <c r="H2642" s="20" t="s">
        <v>2680</v>
      </c>
      <c r="I2642" s="22" t="s">
        <v>2848</v>
      </c>
    </row>
    <row r="2643" spans="8:9">
      <c r="H2643" s="20" t="s">
        <v>2681</v>
      </c>
      <c r="I2643" s="21" t="s">
        <v>2849</v>
      </c>
    </row>
    <row r="2644" spans="8:9">
      <c r="H2644" s="20" t="s">
        <v>2682</v>
      </c>
      <c r="I2644" s="22" t="s">
        <v>2849</v>
      </c>
    </row>
    <row r="2645" spans="8:9">
      <c r="H2645" s="20" t="s">
        <v>2683</v>
      </c>
      <c r="I2645" s="22" t="s">
        <v>2849</v>
      </c>
    </row>
    <row r="2646" spans="8:9">
      <c r="H2646" s="20" t="s">
        <v>2684</v>
      </c>
      <c r="I2646" s="22" t="s">
        <v>2849</v>
      </c>
    </row>
    <row r="2647" spans="8:9">
      <c r="H2647" s="20" t="s">
        <v>2685</v>
      </c>
      <c r="I2647" s="21" t="s">
        <v>2852</v>
      </c>
    </row>
    <row r="2648" spans="8:9">
      <c r="H2648" s="20" t="s">
        <v>2686</v>
      </c>
      <c r="I2648" s="21" t="s">
        <v>2852</v>
      </c>
    </row>
    <row r="2649" spans="8:9">
      <c r="H2649" s="20" t="s">
        <v>2687</v>
      </c>
      <c r="I2649" s="21" t="s">
        <v>2852</v>
      </c>
    </row>
    <row r="2650" spans="8:9">
      <c r="H2650" s="20" t="s">
        <v>2688</v>
      </c>
      <c r="I2650" s="21" t="s">
        <v>2850</v>
      </c>
    </row>
    <row r="2651" spans="8:9">
      <c r="H2651" s="20" t="s">
        <v>2689</v>
      </c>
      <c r="I2651" s="21" t="s">
        <v>2850</v>
      </c>
    </row>
    <row r="2652" spans="8:9">
      <c r="H2652" s="20" t="s">
        <v>2690</v>
      </c>
      <c r="I2652" s="22" t="s">
        <v>2850</v>
      </c>
    </row>
    <row r="2653" spans="8:9">
      <c r="H2653" s="20" t="s">
        <v>2691</v>
      </c>
      <c r="I2653" s="22" t="s">
        <v>2850</v>
      </c>
    </row>
    <row r="2654" spans="8:9">
      <c r="H2654" s="20" t="s">
        <v>2692</v>
      </c>
      <c r="I2654" s="21" t="s">
        <v>2848</v>
      </c>
    </row>
    <row r="2655" spans="8:9">
      <c r="H2655" s="20" t="s">
        <v>2693</v>
      </c>
      <c r="I2655" s="21" t="s">
        <v>2850</v>
      </c>
    </row>
    <row r="2656" spans="8:9">
      <c r="H2656" s="20" t="s">
        <v>2694</v>
      </c>
      <c r="I2656" s="22" t="s">
        <v>2848</v>
      </c>
    </row>
    <row r="2657" spans="8:9">
      <c r="H2657" s="20" t="s">
        <v>2695</v>
      </c>
      <c r="I2657" s="21" t="s">
        <v>2850</v>
      </c>
    </row>
    <row r="2658" spans="8:9">
      <c r="H2658" s="20" t="s">
        <v>2696</v>
      </c>
      <c r="I2658" s="21" t="s">
        <v>2848</v>
      </c>
    </row>
    <row r="2659" spans="8:9">
      <c r="H2659" s="20" t="s">
        <v>2697</v>
      </c>
      <c r="I2659" s="22" t="s">
        <v>2848</v>
      </c>
    </row>
    <row r="2660" spans="8:9">
      <c r="H2660" s="20" t="s">
        <v>2698</v>
      </c>
      <c r="I2660" s="22" t="s">
        <v>2849</v>
      </c>
    </row>
    <row r="2661" spans="8:9">
      <c r="H2661" s="20" t="s">
        <v>2699</v>
      </c>
      <c r="I2661" s="22" t="s">
        <v>2849</v>
      </c>
    </row>
    <row r="2662" spans="8:9">
      <c r="H2662" s="20" t="s">
        <v>2700</v>
      </c>
      <c r="I2662" s="22" t="s">
        <v>2849</v>
      </c>
    </row>
    <row r="2663" spans="8:9">
      <c r="H2663" s="20" t="s">
        <v>2701</v>
      </c>
      <c r="I2663" s="22" t="s">
        <v>2850</v>
      </c>
    </row>
    <row r="2664" spans="8:9">
      <c r="H2664" s="20" t="s">
        <v>2702</v>
      </c>
      <c r="I2664" s="22" t="s">
        <v>2849</v>
      </c>
    </row>
    <row r="2665" spans="8:9">
      <c r="H2665" s="20" t="s">
        <v>2703</v>
      </c>
      <c r="I2665" s="22" t="s">
        <v>2849</v>
      </c>
    </row>
    <row r="2666" spans="8:9">
      <c r="H2666" s="20" t="s">
        <v>2704</v>
      </c>
      <c r="I2666" s="22" t="s">
        <v>2848</v>
      </c>
    </row>
    <row r="2667" spans="8:9">
      <c r="H2667" s="20" t="s">
        <v>2705</v>
      </c>
      <c r="I2667" s="22" t="s">
        <v>2849</v>
      </c>
    </row>
    <row r="2668" spans="8:9">
      <c r="H2668" s="20" t="s">
        <v>2706</v>
      </c>
      <c r="I2668" s="22" t="s">
        <v>2849</v>
      </c>
    </row>
    <row r="2669" spans="8:9">
      <c r="H2669" s="20" t="s">
        <v>2707</v>
      </c>
      <c r="I2669" s="22" t="s">
        <v>2848</v>
      </c>
    </row>
    <row r="2670" spans="8:9">
      <c r="H2670" s="20" t="s">
        <v>2708</v>
      </c>
      <c r="I2670" s="22" t="s">
        <v>2848</v>
      </c>
    </row>
    <row r="2671" spans="8:9">
      <c r="H2671" s="20" t="s">
        <v>2709</v>
      </c>
      <c r="I2671" s="22" t="s">
        <v>2852</v>
      </c>
    </row>
    <row r="2672" spans="8:9">
      <c r="H2672" s="20" t="s">
        <v>2710</v>
      </c>
      <c r="I2672" s="22" t="s">
        <v>2852</v>
      </c>
    </row>
    <row r="2673" spans="8:9">
      <c r="H2673" s="20" t="s">
        <v>2711</v>
      </c>
      <c r="I2673" s="21" t="s">
        <v>2852</v>
      </c>
    </row>
    <row r="2674" spans="8:9">
      <c r="H2674" s="20" t="s">
        <v>2712</v>
      </c>
      <c r="I2674" s="22" t="s">
        <v>2852</v>
      </c>
    </row>
    <row r="2675" spans="8:9">
      <c r="H2675" s="20" t="s">
        <v>2713</v>
      </c>
      <c r="I2675" s="21" t="s">
        <v>2852</v>
      </c>
    </row>
    <row r="2676" spans="8:9">
      <c r="H2676" s="20" t="s">
        <v>2714</v>
      </c>
      <c r="I2676" s="21" t="s">
        <v>2852</v>
      </c>
    </row>
    <row r="2677" spans="8:9">
      <c r="H2677" s="20" t="s">
        <v>2715</v>
      </c>
      <c r="I2677" s="22" t="s">
        <v>2852</v>
      </c>
    </row>
    <row r="2678" spans="8:9">
      <c r="H2678" s="20" t="s">
        <v>2716</v>
      </c>
      <c r="I2678" s="22" t="s">
        <v>2852</v>
      </c>
    </row>
    <row r="2679" spans="8:9">
      <c r="H2679" s="20" t="s">
        <v>2717</v>
      </c>
      <c r="I2679" s="22" t="s">
        <v>2852</v>
      </c>
    </row>
    <row r="2680" spans="8:9">
      <c r="H2680" s="20" t="s">
        <v>2718</v>
      </c>
      <c r="I2680" s="22" t="s">
        <v>2852</v>
      </c>
    </row>
    <row r="2681" spans="8:9">
      <c r="H2681" s="20" t="s">
        <v>2719</v>
      </c>
      <c r="I2681" s="22" t="s">
        <v>2852</v>
      </c>
    </row>
    <row r="2682" spans="8:9">
      <c r="H2682" s="20" t="s">
        <v>2720</v>
      </c>
      <c r="I2682" s="21" t="s">
        <v>2852</v>
      </c>
    </row>
    <row r="2683" spans="8:9">
      <c r="H2683" s="20" t="s">
        <v>2721</v>
      </c>
      <c r="I2683" s="22" t="s">
        <v>2852</v>
      </c>
    </row>
    <row r="2684" spans="8:9">
      <c r="H2684" s="20" t="s">
        <v>2722</v>
      </c>
      <c r="I2684" s="21" t="s">
        <v>2850</v>
      </c>
    </row>
    <row r="2685" spans="8:9">
      <c r="H2685" s="20" t="s">
        <v>2723</v>
      </c>
      <c r="I2685" s="21" t="s">
        <v>2848</v>
      </c>
    </row>
    <row r="2686" spans="8:9">
      <c r="H2686" s="20" t="s">
        <v>2724</v>
      </c>
      <c r="I2686" s="21" t="s">
        <v>2850</v>
      </c>
    </row>
    <row r="2687" spans="8:9">
      <c r="H2687" s="20" t="s">
        <v>2725</v>
      </c>
      <c r="I2687" s="21" t="s">
        <v>2848</v>
      </c>
    </row>
    <row r="2688" spans="8:9">
      <c r="H2688" s="20" t="s">
        <v>2726</v>
      </c>
      <c r="I2688" s="21" t="s">
        <v>2849</v>
      </c>
    </row>
    <row r="2689" spans="8:9">
      <c r="H2689" s="20" t="s">
        <v>2727</v>
      </c>
      <c r="I2689" s="21" t="s">
        <v>2848</v>
      </c>
    </row>
    <row r="2690" spans="8:9">
      <c r="H2690" s="20" t="s">
        <v>2728</v>
      </c>
      <c r="I2690" s="21" t="s">
        <v>2848</v>
      </c>
    </row>
    <row r="2691" spans="8:9">
      <c r="H2691" s="20" t="s">
        <v>2729</v>
      </c>
      <c r="I2691" s="22" t="s">
        <v>2848</v>
      </c>
    </row>
    <row r="2692" spans="8:9">
      <c r="H2692" s="20" t="s">
        <v>2730</v>
      </c>
      <c r="I2692" s="22" t="s">
        <v>2848</v>
      </c>
    </row>
    <row r="2693" spans="8:9">
      <c r="H2693" s="20" t="s">
        <v>2731</v>
      </c>
      <c r="I2693" s="22" t="s">
        <v>2856</v>
      </c>
    </row>
    <row r="2694" spans="8:9">
      <c r="H2694" s="20" t="s">
        <v>2732</v>
      </c>
      <c r="I2694" s="22" t="s">
        <v>2852</v>
      </c>
    </row>
    <row r="2695" spans="8:9">
      <c r="H2695" s="20" t="s">
        <v>2733</v>
      </c>
      <c r="I2695" s="22" t="s">
        <v>2849</v>
      </c>
    </row>
    <row r="2696" spans="8:9">
      <c r="H2696" s="20" t="s">
        <v>2734</v>
      </c>
      <c r="I2696" s="22" t="s">
        <v>2849</v>
      </c>
    </row>
    <row r="2697" spans="8:9">
      <c r="H2697" s="20" t="s">
        <v>2735</v>
      </c>
      <c r="I2697" s="22" t="s">
        <v>2849</v>
      </c>
    </row>
    <row r="2698" spans="8:9">
      <c r="H2698" s="20" t="s">
        <v>2736</v>
      </c>
      <c r="I2698" s="22" t="s">
        <v>2849</v>
      </c>
    </row>
    <row r="2699" spans="8:9">
      <c r="H2699" s="20" t="s">
        <v>2737</v>
      </c>
      <c r="I2699" s="22" t="s">
        <v>2848</v>
      </c>
    </row>
    <row r="2700" spans="8:9">
      <c r="H2700" s="20" t="s">
        <v>2738</v>
      </c>
      <c r="I2700" s="22" t="s">
        <v>2848</v>
      </c>
    </row>
    <row r="2701" spans="8:9">
      <c r="H2701" s="20" t="s">
        <v>2739</v>
      </c>
      <c r="I2701" s="22" t="s">
        <v>2849</v>
      </c>
    </row>
    <row r="2702" spans="8:9">
      <c r="H2702" s="20" t="s">
        <v>2740</v>
      </c>
      <c r="I2702" s="22" t="s">
        <v>2849</v>
      </c>
    </row>
    <row r="2703" spans="8:9">
      <c r="H2703" s="20" t="s">
        <v>2741</v>
      </c>
      <c r="I2703" s="21" t="s">
        <v>2850</v>
      </c>
    </row>
    <row r="2704" spans="8:9">
      <c r="H2704" s="20" t="s">
        <v>2742</v>
      </c>
      <c r="I2704" s="21" t="s">
        <v>2850</v>
      </c>
    </row>
    <row r="2705" spans="8:9">
      <c r="H2705" s="20" t="s">
        <v>2743</v>
      </c>
      <c r="I2705" s="22" t="s">
        <v>2849</v>
      </c>
    </row>
    <row r="2706" spans="8:9">
      <c r="H2706" s="20" t="s">
        <v>2744</v>
      </c>
      <c r="I2706" s="21" t="s">
        <v>2850</v>
      </c>
    </row>
    <row r="2707" spans="8:9">
      <c r="H2707" s="20" t="s">
        <v>2745</v>
      </c>
      <c r="I2707" s="21" t="s">
        <v>2849</v>
      </c>
    </row>
    <row r="2708" spans="8:9">
      <c r="H2708" s="20" t="s">
        <v>2746</v>
      </c>
      <c r="I2708" s="22" t="s">
        <v>2848</v>
      </c>
    </row>
    <row r="2709" spans="8:9">
      <c r="H2709" s="20" t="s">
        <v>2747</v>
      </c>
      <c r="I2709" s="21" t="s">
        <v>2848</v>
      </c>
    </row>
    <row r="2710" spans="8:9">
      <c r="H2710" s="20" t="s">
        <v>2748</v>
      </c>
      <c r="I2710" s="22" t="s">
        <v>2850</v>
      </c>
    </row>
    <row r="2711" spans="8:9">
      <c r="H2711" s="20" t="s">
        <v>2749</v>
      </c>
      <c r="I2711" s="22" t="s">
        <v>2850</v>
      </c>
    </row>
    <row r="2712" spans="8:9">
      <c r="H2712" s="20" t="s">
        <v>2750</v>
      </c>
      <c r="I2712" s="22" t="s">
        <v>2850</v>
      </c>
    </row>
    <row r="2713" spans="8:9">
      <c r="H2713" s="20" t="s">
        <v>2751</v>
      </c>
      <c r="I2713" s="21" t="s">
        <v>2850</v>
      </c>
    </row>
    <row r="2714" spans="8:9">
      <c r="H2714" s="20" t="s">
        <v>2752</v>
      </c>
      <c r="I2714" s="21" t="s">
        <v>2852</v>
      </c>
    </row>
    <row r="2715" spans="8:9">
      <c r="H2715" s="20" t="s">
        <v>2753</v>
      </c>
      <c r="I2715" s="22" t="s">
        <v>2849</v>
      </c>
    </row>
    <row r="2716" spans="8:9">
      <c r="H2716" s="20" t="s">
        <v>2754</v>
      </c>
      <c r="I2716" s="22" t="s">
        <v>2848</v>
      </c>
    </row>
    <row r="2717" spans="8:9">
      <c r="H2717" s="20" t="s">
        <v>2755</v>
      </c>
      <c r="I2717" s="22" t="s">
        <v>2849</v>
      </c>
    </row>
    <row r="2718" spans="8:9">
      <c r="H2718" s="20" t="s">
        <v>2756</v>
      </c>
      <c r="I2718" s="21" t="s">
        <v>2850</v>
      </c>
    </row>
    <row r="2719" spans="8:9">
      <c r="H2719" s="20" t="s">
        <v>2757</v>
      </c>
      <c r="I2719" s="21" t="s">
        <v>2850</v>
      </c>
    </row>
    <row r="2720" spans="8:9">
      <c r="H2720" s="20" t="s">
        <v>2758</v>
      </c>
      <c r="I2720" s="21" t="s">
        <v>2850</v>
      </c>
    </row>
    <row r="2721" spans="8:9">
      <c r="H2721" s="20" t="s">
        <v>2759</v>
      </c>
      <c r="I2721" s="21" t="s">
        <v>2850</v>
      </c>
    </row>
    <row r="2722" spans="8:9">
      <c r="H2722" s="20" t="s">
        <v>2760</v>
      </c>
      <c r="I2722" s="22" t="s">
        <v>2848</v>
      </c>
    </row>
    <row r="2723" spans="8:9">
      <c r="H2723" s="20" t="s">
        <v>2761</v>
      </c>
      <c r="I2723" s="21" t="s">
        <v>2850</v>
      </c>
    </row>
    <row r="2724" spans="8:9">
      <c r="H2724" s="20" t="s">
        <v>2762</v>
      </c>
      <c r="I2724" s="21" t="s">
        <v>2850</v>
      </c>
    </row>
    <row r="2725" spans="8:9">
      <c r="H2725" s="20" t="s">
        <v>2763</v>
      </c>
      <c r="I2725" s="22" t="s">
        <v>2849</v>
      </c>
    </row>
    <row r="2726" spans="8:9">
      <c r="H2726" s="20" t="s">
        <v>2764</v>
      </c>
      <c r="I2726" s="21" t="s">
        <v>2852</v>
      </c>
    </row>
    <row r="2727" spans="8:9">
      <c r="H2727" s="20" t="s">
        <v>2765</v>
      </c>
      <c r="I2727" s="22" t="s">
        <v>2849</v>
      </c>
    </row>
    <row r="2728" spans="8:9">
      <c r="H2728" s="20" t="s">
        <v>2766</v>
      </c>
      <c r="I2728" s="22" t="s">
        <v>2849</v>
      </c>
    </row>
    <row r="2729" spans="8:9">
      <c r="H2729" s="20" t="s">
        <v>2767</v>
      </c>
      <c r="I2729" s="22" t="s">
        <v>2849</v>
      </c>
    </row>
    <row r="2730" spans="8:9">
      <c r="H2730" s="20" t="s">
        <v>2768</v>
      </c>
      <c r="I2730" s="22" t="s">
        <v>2848</v>
      </c>
    </row>
    <row r="2731" spans="8:9">
      <c r="H2731" s="20" t="s">
        <v>2769</v>
      </c>
      <c r="I2731" s="22" t="s">
        <v>2849</v>
      </c>
    </row>
    <row r="2732" spans="8:9">
      <c r="H2732" s="20" t="s">
        <v>2770</v>
      </c>
      <c r="I2732" s="21" t="s">
        <v>2850</v>
      </c>
    </row>
    <row r="2733" spans="8:9">
      <c r="H2733" s="20" t="s">
        <v>2771</v>
      </c>
      <c r="I2733" s="22" t="s">
        <v>2848</v>
      </c>
    </row>
    <row r="2734" spans="8:9">
      <c r="H2734" s="20" t="s">
        <v>2772</v>
      </c>
      <c r="I2734" s="21" t="s">
        <v>2850</v>
      </c>
    </row>
    <row r="2735" spans="8:9">
      <c r="H2735" s="20" t="s">
        <v>2773</v>
      </c>
      <c r="I2735" s="21" t="s">
        <v>2852</v>
      </c>
    </row>
    <row r="2736" spans="8:9">
      <c r="H2736" s="20" t="s">
        <v>2774</v>
      </c>
      <c r="I2736" s="22" t="s">
        <v>2850</v>
      </c>
    </row>
    <row r="2737" spans="8:9">
      <c r="H2737" s="20" t="s">
        <v>2775</v>
      </c>
      <c r="I2737" s="21" t="s">
        <v>2850</v>
      </c>
    </row>
    <row r="2738" spans="8:9">
      <c r="H2738" s="20" t="s">
        <v>2776</v>
      </c>
      <c r="I2738" s="22" t="s">
        <v>2850</v>
      </c>
    </row>
    <row r="2739" spans="8:9">
      <c r="H2739" s="20" t="s">
        <v>2777</v>
      </c>
      <c r="I2739" s="22" t="s">
        <v>2848</v>
      </c>
    </row>
    <row r="2740" spans="8:9">
      <c r="H2740" s="20" t="s">
        <v>2778</v>
      </c>
      <c r="I2740" s="22" t="s">
        <v>2848</v>
      </c>
    </row>
    <row r="2741" spans="8:9">
      <c r="H2741" s="20" t="s">
        <v>2779</v>
      </c>
      <c r="I2741" s="22" t="s">
        <v>2849</v>
      </c>
    </row>
    <row r="2742" spans="8:9">
      <c r="H2742" s="20" t="s">
        <v>2780</v>
      </c>
      <c r="I2742" s="22" t="s">
        <v>2849</v>
      </c>
    </row>
    <row r="2743" spans="8:9">
      <c r="H2743" s="20" t="s">
        <v>2781</v>
      </c>
      <c r="I2743" s="22" t="s">
        <v>2849</v>
      </c>
    </row>
    <row r="2744" spans="8:9">
      <c r="H2744" s="20" t="s">
        <v>2782</v>
      </c>
      <c r="I2744" s="22" t="s">
        <v>2849</v>
      </c>
    </row>
    <row r="2745" spans="8:9">
      <c r="H2745" s="20" t="s">
        <v>2783</v>
      </c>
      <c r="I2745" s="22" t="s">
        <v>2849</v>
      </c>
    </row>
    <row r="2746" spans="8:9">
      <c r="H2746" s="20" t="s">
        <v>2784</v>
      </c>
      <c r="I2746" s="22" t="s">
        <v>2849</v>
      </c>
    </row>
    <row r="2747" spans="8:9">
      <c r="H2747" s="20" t="s">
        <v>2785</v>
      </c>
      <c r="I2747" s="22" t="s">
        <v>2849</v>
      </c>
    </row>
    <row r="2748" spans="8:9">
      <c r="H2748" s="20" t="s">
        <v>2786</v>
      </c>
      <c r="I2748" s="22" t="s">
        <v>2848</v>
      </c>
    </row>
    <row r="2749" spans="8:9">
      <c r="H2749" s="20" t="s">
        <v>2787</v>
      </c>
      <c r="I2749" s="22" t="s">
        <v>2848</v>
      </c>
    </row>
    <row r="2750" spans="8:9">
      <c r="H2750" s="20" t="s">
        <v>2788</v>
      </c>
      <c r="I2750" s="22" t="s">
        <v>2848</v>
      </c>
    </row>
    <row r="2751" spans="8:9">
      <c r="H2751" s="20" t="s">
        <v>2789</v>
      </c>
      <c r="I2751" s="22" t="s">
        <v>2848</v>
      </c>
    </row>
    <row r="2752" spans="8:9">
      <c r="H2752" s="20" t="s">
        <v>2790</v>
      </c>
      <c r="I2752" s="22" t="s">
        <v>2849</v>
      </c>
    </row>
    <row r="2753" spans="8:9">
      <c r="H2753" s="20" t="s">
        <v>2791</v>
      </c>
      <c r="I2753" s="22" t="s">
        <v>2849</v>
      </c>
    </row>
    <row r="2754" spans="8:9">
      <c r="H2754" s="20" t="s">
        <v>2792</v>
      </c>
      <c r="I2754" s="22" t="s">
        <v>2848</v>
      </c>
    </row>
    <row r="2755" spans="8:9">
      <c r="H2755" s="20" t="s">
        <v>2793</v>
      </c>
      <c r="I2755" s="22" t="s">
        <v>2848</v>
      </c>
    </row>
    <row r="2756" spans="8:9">
      <c r="H2756" s="20" t="s">
        <v>2794</v>
      </c>
      <c r="I2756" s="22" t="s">
        <v>2848</v>
      </c>
    </row>
    <row r="2757" spans="8:9">
      <c r="H2757" s="20" t="s">
        <v>2795</v>
      </c>
      <c r="I2757" s="21" t="s">
        <v>2852</v>
      </c>
    </row>
    <row r="2758" spans="8:9">
      <c r="H2758" s="20" t="s">
        <v>2796</v>
      </c>
      <c r="I2758" s="21" t="s">
        <v>2849</v>
      </c>
    </row>
    <row r="2759" spans="8:9">
      <c r="H2759" s="20" t="s">
        <v>2797</v>
      </c>
      <c r="I2759" s="22" t="s">
        <v>2849</v>
      </c>
    </row>
    <row r="2760" spans="8:9">
      <c r="H2760" s="20" t="s">
        <v>2798</v>
      </c>
      <c r="I2760" s="22" t="s">
        <v>2848</v>
      </c>
    </row>
    <row r="2761" spans="8:9">
      <c r="H2761" s="20" t="s">
        <v>2799</v>
      </c>
      <c r="I2761" s="22" t="s">
        <v>2849</v>
      </c>
    </row>
    <row r="2762" spans="8:9">
      <c r="H2762" s="20" t="s">
        <v>2800</v>
      </c>
      <c r="I2762" s="21" t="s">
        <v>2852</v>
      </c>
    </row>
    <row r="2763" spans="8:9">
      <c r="H2763" s="20" t="s">
        <v>2801</v>
      </c>
      <c r="I2763" s="21" t="s">
        <v>2850</v>
      </c>
    </row>
    <row r="2764" spans="8:9">
      <c r="H2764" s="20" t="s">
        <v>2802</v>
      </c>
      <c r="I2764" s="22" t="s">
        <v>2849</v>
      </c>
    </row>
    <row r="2765" spans="8:9">
      <c r="H2765" s="20" t="s">
        <v>2803</v>
      </c>
      <c r="I2765" s="21" t="s">
        <v>2850</v>
      </c>
    </row>
    <row r="2766" spans="8:9">
      <c r="H2766" s="20" t="s">
        <v>2804</v>
      </c>
      <c r="I2766" s="21" t="s">
        <v>2850</v>
      </c>
    </row>
    <row r="2767" spans="8:9">
      <c r="H2767" s="20" t="s">
        <v>2805</v>
      </c>
      <c r="I2767" s="21" t="s">
        <v>2848</v>
      </c>
    </row>
    <row r="2768" spans="8:9">
      <c r="H2768" s="20" t="s">
        <v>2806</v>
      </c>
      <c r="I2768" s="22" t="s">
        <v>2852</v>
      </c>
    </row>
    <row r="2769" spans="8:9">
      <c r="H2769" s="20" t="s">
        <v>2807</v>
      </c>
      <c r="I2769" s="22" t="s">
        <v>2852</v>
      </c>
    </row>
    <row r="2770" spans="8:9">
      <c r="H2770" s="20" t="s">
        <v>2808</v>
      </c>
      <c r="I2770" s="22" t="s">
        <v>2852</v>
      </c>
    </row>
    <row r="2771" spans="8:9">
      <c r="H2771" s="20" t="s">
        <v>2809</v>
      </c>
      <c r="I2771" s="22" t="s">
        <v>2848</v>
      </c>
    </row>
    <row r="2772" spans="8:9">
      <c r="H2772" s="20" t="s">
        <v>2810</v>
      </c>
      <c r="I2772" s="21" t="s">
        <v>2850</v>
      </c>
    </row>
    <row r="2773" spans="8:9">
      <c r="H2773" s="20" t="s">
        <v>2811</v>
      </c>
      <c r="I2773" s="22" t="s">
        <v>2852</v>
      </c>
    </row>
    <row r="2774" spans="8:9">
      <c r="H2774" s="20" t="s">
        <v>2812</v>
      </c>
      <c r="I2774" s="22" t="s">
        <v>2852</v>
      </c>
    </row>
    <row r="2775" spans="8:9">
      <c r="H2775" s="20" t="s">
        <v>2813</v>
      </c>
      <c r="I2775" s="22" t="s">
        <v>2852</v>
      </c>
    </row>
    <row r="2776" spans="8:9">
      <c r="H2776" s="20" t="s">
        <v>2814</v>
      </c>
      <c r="I2776" s="22" t="s">
        <v>2852</v>
      </c>
    </row>
    <row r="2777" spans="8:9">
      <c r="H2777" s="20" t="s">
        <v>2815</v>
      </c>
      <c r="I2777" s="22" t="s">
        <v>2852</v>
      </c>
    </row>
    <row r="2778" spans="8:9">
      <c r="H2778" s="20" t="s">
        <v>2816</v>
      </c>
      <c r="I2778" s="22" t="s">
        <v>2852</v>
      </c>
    </row>
    <row r="2779" spans="8:9">
      <c r="H2779" s="20" t="s">
        <v>2817</v>
      </c>
      <c r="I2779" s="21" t="s">
        <v>2850</v>
      </c>
    </row>
    <row r="2780" spans="8:9">
      <c r="H2780" s="20" t="s">
        <v>2818</v>
      </c>
      <c r="I2780" s="22" t="s">
        <v>2852</v>
      </c>
    </row>
    <row r="2781" spans="8:9">
      <c r="H2781" s="20" t="s">
        <v>2819</v>
      </c>
      <c r="I2781" s="22" t="s">
        <v>2852</v>
      </c>
    </row>
    <row r="2782" spans="8:9">
      <c r="H2782" s="20" t="s">
        <v>2820</v>
      </c>
      <c r="I2782" s="22" t="s">
        <v>2852</v>
      </c>
    </row>
    <row r="2783" spans="8:9">
      <c r="H2783" s="20" t="s">
        <v>2821</v>
      </c>
      <c r="I2783" s="21" t="s">
        <v>2852</v>
      </c>
    </row>
    <row r="2784" spans="8:9">
      <c r="H2784" s="20" t="s">
        <v>2822</v>
      </c>
      <c r="I2784" s="22" t="s">
        <v>2852</v>
      </c>
    </row>
    <row r="2785" spans="8:9">
      <c r="H2785" s="20" t="s">
        <v>2823</v>
      </c>
      <c r="I2785" s="21" t="s">
        <v>2850</v>
      </c>
    </row>
    <row r="2786" spans="8:9">
      <c r="H2786" s="20" t="s">
        <v>2824</v>
      </c>
      <c r="I2786" s="22" t="s">
        <v>2849</v>
      </c>
    </row>
    <row r="2787" spans="8:9">
      <c r="H2787" s="20" t="s">
        <v>2825</v>
      </c>
      <c r="I2787" s="22" t="s">
        <v>2848</v>
      </c>
    </row>
    <row r="2788" spans="8:9">
      <c r="H2788" s="20" t="s">
        <v>2826</v>
      </c>
      <c r="I2788" s="22" t="s">
        <v>2848</v>
      </c>
    </row>
    <row r="2789" spans="8:9">
      <c r="H2789" s="20" t="s">
        <v>2827</v>
      </c>
      <c r="I2789" s="22" t="s">
        <v>2848</v>
      </c>
    </row>
    <row r="2790" spans="8:9">
      <c r="H2790" s="20" t="s">
        <v>2828</v>
      </c>
      <c r="I2790" s="22" t="s">
        <v>2848</v>
      </c>
    </row>
    <row r="2791" spans="8:9">
      <c r="H2791" s="20" t="s">
        <v>2829</v>
      </c>
      <c r="I2791" s="22" t="s">
        <v>2848</v>
      </c>
    </row>
    <row r="2792" spans="8:9">
      <c r="H2792" s="20" t="s">
        <v>2830</v>
      </c>
      <c r="I2792" s="22" t="s">
        <v>2849</v>
      </c>
    </row>
    <row r="2793" spans="8:9">
      <c r="H2793" s="20" t="s">
        <v>2831</v>
      </c>
      <c r="I2793" s="21" t="s">
        <v>2850</v>
      </c>
    </row>
    <row r="2794" spans="8:9">
      <c r="H2794" s="20" t="s">
        <v>2832</v>
      </c>
      <c r="I2794" s="22" t="s">
        <v>2849</v>
      </c>
    </row>
    <row r="2795" spans="8:9">
      <c r="H2795" s="20" t="s">
        <v>2833</v>
      </c>
      <c r="I2795" s="22" t="s">
        <v>2848</v>
      </c>
    </row>
    <row r="2796" spans="8:9">
      <c r="H2796" s="20" t="s">
        <v>2834</v>
      </c>
      <c r="I2796" s="22" t="s">
        <v>2849</v>
      </c>
    </row>
    <row r="2797" spans="8:9">
      <c r="H2797" s="20" t="s">
        <v>2835</v>
      </c>
      <c r="I2797" s="21" t="s">
        <v>2850</v>
      </c>
    </row>
    <row r="2798" spans="8:9">
      <c r="H2798" s="20" t="s">
        <v>2836</v>
      </c>
      <c r="I2798" s="21" t="s">
        <v>2850</v>
      </c>
    </row>
    <row r="2799" spans="8:9">
      <c r="H2799" s="20" t="s">
        <v>2837</v>
      </c>
      <c r="I2799" s="22" t="s">
        <v>2849</v>
      </c>
    </row>
    <row r="2800" spans="8:9">
      <c r="H2800" s="20" t="s">
        <v>2838</v>
      </c>
      <c r="I2800" s="21" t="s">
        <v>2852</v>
      </c>
    </row>
    <row r="2801" spans="8:9">
      <c r="H2801" s="20" t="s">
        <v>2839</v>
      </c>
      <c r="I2801" s="21" t="s">
        <v>2852</v>
      </c>
    </row>
    <row r="2802" spans="8:9">
      <c r="H2802" s="20" t="s">
        <v>2840</v>
      </c>
      <c r="I2802" s="22" t="s">
        <v>2848</v>
      </c>
    </row>
    <row r="2803" spans="8:9">
      <c r="H2803" s="20" t="s">
        <v>2841</v>
      </c>
      <c r="I2803" s="22" t="s">
        <v>2849</v>
      </c>
    </row>
    <row r="2804" spans="8:9">
      <c r="H2804" s="20" t="s">
        <v>2842</v>
      </c>
      <c r="I2804" s="22" t="s">
        <v>2849</v>
      </c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0A13-475D-4FB5-8E5C-178EFEED871B}">
  <sheetPr codeName="Sheet7"/>
  <dimension ref="A1:K15"/>
  <sheetViews>
    <sheetView workbookViewId="0">
      <selection sqref="A1:K1"/>
    </sheetView>
  </sheetViews>
  <sheetFormatPr defaultRowHeight="15"/>
  <cols>
    <col min="1" max="1" width="12.5703125" bestFit="1" customWidth="1"/>
    <col min="2" max="2" width="33.42578125" bestFit="1" customWidth="1"/>
    <col min="8" max="8" width="14.5703125" customWidth="1"/>
    <col min="9" max="9" width="17.85546875" customWidth="1"/>
    <col min="10" max="10" width="12.7109375" customWidth="1"/>
    <col min="11" max="11" width="35.42578125" customWidth="1"/>
  </cols>
  <sheetData>
    <row r="1" spans="1:11" ht="23.25">
      <c r="A1" s="593" t="s">
        <v>2901</v>
      </c>
      <c r="B1" s="594"/>
      <c r="C1" s="594"/>
      <c r="D1" s="594"/>
      <c r="E1" s="594"/>
      <c r="F1" s="594"/>
      <c r="G1" s="594"/>
      <c r="H1" s="594"/>
      <c r="I1" s="594"/>
      <c r="J1" s="594"/>
      <c r="K1" s="595"/>
    </row>
    <row r="2" spans="1:11" s="20" customFormat="1" ht="18" customHeight="1">
      <c r="A2" s="596" t="s">
        <v>2903</v>
      </c>
      <c r="B2" s="597"/>
      <c r="C2" s="597"/>
      <c r="D2" s="597"/>
      <c r="E2" s="597"/>
      <c r="F2" s="597"/>
      <c r="G2" s="597"/>
      <c r="H2" s="597"/>
      <c r="I2" s="597"/>
      <c r="J2" s="597"/>
      <c r="K2" s="598"/>
    </row>
    <row r="3" spans="1:11" s="20" customFormat="1" ht="18" customHeight="1">
      <c r="A3" s="219" t="s">
        <v>2907</v>
      </c>
      <c r="B3" s="220"/>
      <c r="C3" s="601" t="s">
        <v>2909</v>
      </c>
      <c r="D3" s="601"/>
      <c r="E3" s="601"/>
      <c r="F3" s="601"/>
      <c r="G3" s="601"/>
      <c r="H3" s="601"/>
      <c r="I3" s="601"/>
      <c r="J3" s="601"/>
      <c r="K3" s="602"/>
    </row>
    <row r="4" spans="1:11">
      <c r="A4" s="250" t="s">
        <v>2902</v>
      </c>
      <c r="B4" s="266" t="s">
        <v>2932</v>
      </c>
      <c r="C4" s="587" t="s">
        <v>2933</v>
      </c>
      <c r="D4" s="588"/>
      <c r="E4" s="588"/>
      <c r="F4" s="588"/>
      <c r="G4" s="588"/>
      <c r="H4" s="588"/>
      <c r="I4" s="588"/>
      <c r="J4" s="588"/>
      <c r="K4" s="589"/>
    </row>
    <row r="5" spans="1:11">
      <c r="A5" s="599" t="s">
        <v>2904</v>
      </c>
      <c r="B5" s="210" t="s">
        <v>2928</v>
      </c>
      <c r="C5" s="364" t="s">
        <v>2910</v>
      </c>
      <c r="D5" s="365"/>
      <c r="E5" s="365"/>
      <c r="F5" s="365"/>
      <c r="G5" s="365"/>
      <c r="H5" s="365"/>
      <c r="I5" s="365"/>
      <c r="J5" s="365"/>
      <c r="K5" s="366"/>
    </row>
    <row r="6" spans="1:11">
      <c r="A6" s="600"/>
      <c r="B6" s="210" t="s">
        <v>2918</v>
      </c>
      <c r="C6" s="364" t="s">
        <v>2911</v>
      </c>
      <c r="D6" s="365"/>
      <c r="E6" s="365"/>
      <c r="F6" s="365"/>
      <c r="G6" s="365"/>
      <c r="H6" s="365"/>
      <c r="I6" s="365"/>
      <c r="J6" s="365"/>
      <c r="K6" s="366"/>
    </row>
    <row r="7" spans="1:11">
      <c r="A7" s="600"/>
      <c r="B7" s="211" t="s">
        <v>2885</v>
      </c>
      <c r="C7" s="364" t="s">
        <v>2912</v>
      </c>
      <c r="D7" s="365"/>
      <c r="E7" s="365"/>
      <c r="F7" s="365"/>
      <c r="G7" s="365"/>
      <c r="H7" s="365"/>
      <c r="I7" s="365"/>
      <c r="J7" s="365"/>
      <c r="K7" s="366"/>
    </row>
    <row r="8" spans="1:11">
      <c r="A8" s="575" t="s">
        <v>2906</v>
      </c>
      <c r="B8" s="575" t="s">
        <v>2919</v>
      </c>
      <c r="C8" s="587" t="s">
        <v>2913</v>
      </c>
      <c r="D8" s="588"/>
      <c r="E8" s="588"/>
      <c r="F8" s="588"/>
      <c r="G8" s="588"/>
      <c r="H8" s="588"/>
      <c r="I8" s="588"/>
      <c r="J8" s="588"/>
      <c r="K8" s="589"/>
    </row>
    <row r="9" spans="1:11">
      <c r="A9" s="586"/>
      <c r="B9" s="576"/>
      <c r="C9" s="590"/>
      <c r="D9" s="591"/>
      <c r="E9" s="591"/>
      <c r="F9" s="591"/>
      <c r="G9" s="591"/>
      <c r="H9" s="591"/>
      <c r="I9" s="591"/>
      <c r="J9" s="591"/>
      <c r="K9" s="592"/>
    </row>
    <row r="10" spans="1:11" s="20" customFormat="1">
      <c r="A10" s="586"/>
      <c r="B10" s="224" t="s">
        <v>2920</v>
      </c>
      <c r="C10" s="577" t="s">
        <v>2915</v>
      </c>
      <c r="D10" s="578"/>
      <c r="E10" s="578"/>
      <c r="F10" s="578"/>
      <c r="G10" s="578"/>
      <c r="H10" s="578"/>
      <c r="I10" s="578"/>
      <c r="J10" s="578"/>
      <c r="K10" s="579"/>
    </row>
    <row r="11" spans="1:11" s="20" customFormat="1">
      <c r="A11" s="586"/>
      <c r="B11" s="218" t="s">
        <v>2921</v>
      </c>
      <c r="C11" s="221" t="s">
        <v>2916</v>
      </c>
      <c r="D11" s="222"/>
      <c r="E11" s="222"/>
      <c r="F11" s="222"/>
      <c r="G11" s="222"/>
      <c r="H11" s="222"/>
      <c r="I11" s="222"/>
      <c r="J11" s="222"/>
      <c r="K11" s="223"/>
    </row>
    <row r="12" spans="1:11" s="20" customFormat="1">
      <c r="A12" s="586"/>
      <c r="B12" s="224" t="s">
        <v>2929</v>
      </c>
      <c r="C12" s="221" t="s">
        <v>2930</v>
      </c>
      <c r="D12" s="222"/>
      <c r="E12" s="222"/>
      <c r="F12" s="222"/>
      <c r="G12" s="222"/>
      <c r="H12" s="222"/>
      <c r="I12" s="222"/>
      <c r="J12" s="222"/>
      <c r="K12" s="223"/>
    </row>
    <row r="13" spans="1:11">
      <c r="A13" s="586"/>
      <c r="B13" s="575" t="s">
        <v>2922</v>
      </c>
      <c r="C13" s="580" t="s">
        <v>2917</v>
      </c>
      <c r="D13" s="581"/>
      <c r="E13" s="581"/>
      <c r="F13" s="581"/>
      <c r="G13" s="581"/>
      <c r="H13" s="581"/>
      <c r="I13" s="581"/>
      <c r="J13" s="581"/>
      <c r="K13" s="582"/>
    </row>
    <row r="14" spans="1:11">
      <c r="A14" s="576"/>
      <c r="B14" s="576"/>
      <c r="C14" s="583"/>
      <c r="D14" s="584"/>
      <c r="E14" s="584"/>
      <c r="F14" s="584"/>
      <c r="G14" s="584"/>
      <c r="H14" s="584"/>
      <c r="I14" s="584"/>
      <c r="J14" s="584"/>
      <c r="K14" s="585"/>
    </row>
    <row r="15" spans="1:11">
      <c r="A15" s="1" t="s">
        <v>2934</v>
      </c>
    </row>
  </sheetData>
  <mergeCells count="15">
    <mergeCell ref="A1:K1"/>
    <mergeCell ref="A2:K2"/>
    <mergeCell ref="A5:A7"/>
    <mergeCell ref="C5:K5"/>
    <mergeCell ref="C6:K6"/>
    <mergeCell ref="C7:K7"/>
    <mergeCell ref="C4:K4"/>
    <mergeCell ref="C3:K3"/>
    <mergeCell ref="B13:B14"/>
    <mergeCell ref="C10:K10"/>
    <mergeCell ref="C13:K14"/>
    <mergeCell ref="A8:A14"/>
    <mergeCell ref="C8:K8"/>
    <mergeCell ref="C9:K9"/>
    <mergeCell ref="B8:B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Hydrological</vt:lpstr>
      <vt:lpstr>Soil T1</vt:lpstr>
      <vt:lpstr>Soil T2</vt:lpstr>
      <vt:lpstr>Soil T3</vt:lpstr>
      <vt:lpstr>Vegetation T1</vt:lpstr>
      <vt:lpstr>Vegetation T2</vt:lpstr>
      <vt:lpstr>Vegetation T3</vt:lpstr>
      <vt:lpstr>List</vt:lpstr>
      <vt:lpstr>Instructions </vt:lpstr>
      <vt:lpstr>FAC</vt:lpstr>
      <vt:lpstr>FACW</vt:lpstr>
      <vt:lpstr>UL</vt:lpstr>
      <vt:lpstr>UPL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Jainarain</dc:creator>
  <cp:lastModifiedBy>Kevin Rodberg</cp:lastModifiedBy>
  <cp:lastPrinted>2019-09-16T18:22:30Z</cp:lastPrinted>
  <dcterms:created xsi:type="dcterms:W3CDTF">2018-09-27T14:20:36Z</dcterms:created>
  <dcterms:modified xsi:type="dcterms:W3CDTF">2019-11-21T18:40:16Z</dcterms:modified>
</cp:coreProperties>
</file>